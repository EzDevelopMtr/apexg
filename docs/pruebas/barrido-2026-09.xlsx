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asos de prueba" sheetId="2" state="visible" r:id="rId2"/>
    <sheet xmlns:r="http://schemas.openxmlformats.org/officeDocument/2006/relationships" name="Alcance" sheetId="3" state="visible" r:id="rId3"/>
  </sheets>
  <definedNames>
    <definedName name="_xlnm._FilterDatabase" localSheetId="1" hidden="1">'Casos de prueba'!$A$1:$O$76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1F3864"/>
      <sz val="16"/>
    </font>
    <font>
      <name val="Arial"/>
      <i val="1"/>
      <sz val="10"/>
    </font>
    <font>
      <name val="Arial"/>
      <sz val="11"/>
    </font>
    <font>
      <name val="Arial"/>
      <b val="1"/>
      <sz val="11"/>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9" fontId="5" fillId="0" borderId="0" pivotButton="0" quotePrefix="0" xfId="0"/>
    <xf numFmtId="0" fontId="6"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14" customWidth="1" min="2" max="2"/>
  </cols>
  <sheetData>
    <row r="1">
      <c r="A1" s="1" t="inlineStr">
        <is>
          <t>APEX GYM - Barrido de pruebas end to end</t>
        </is>
      </c>
    </row>
    <row r="2">
      <c r="A2" s="2" t="inlineStr">
        <is>
          <t>Todos los modulos, con prioridad y profundidad en Usuarios, Pagos e Inventario.</t>
        </is>
      </c>
    </row>
    <row r="3">
      <c r="A3" s="2" t="inlineStr">
        <is>
          <t>Corrida automatizada con Playwright, generada el 2026-09-25.</t>
        </is>
      </c>
    </row>
    <row r="4">
      <c r="A4" s="3" t="inlineStr"/>
      <c r="B4" s="3" t="inlineStr"/>
    </row>
    <row r="5">
      <c r="A5" s="3" t="inlineStr">
        <is>
          <t>Total de casos</t>
        </is>
      </c>
      <c r="B5" s="3">
        <f>COUNTA('Casos de prueba'!A2:A76)</f>
        <v/>
      </c>
    </row>
    <row r="6">
      <c r="A6" s="3" t="inlineStr">
        <is>
          <t>Ejecutados OK</t>
        </is>
      </c>
      <c r="B6" s="3">
        <f>COUNTIF('Casos de prueba'!K2:K76,"OK")</f>
        <v/>
      </c>
    </row>
    <row r="7">
      <c r="A7" s="3" t="inlineStr">
        <is>
          <t>Fallidos</t>
        </is>
      </c>
      <c r="B7" s="3">
        <f>COUNTIF('Casos de prueba'!K2:K76,"Fallo")</f>
        <v/>
      </c>
    </row>
    <row r="8">
      <c r="A8" s="3" t="inlineStr">
        <is>
          <t>Bloqueados</t>
        </is>
      </c>
      <c r="B8" s="3">
        <f>COUNTIF('Casos de prueba'!K2:K76,"Bloqueado")</f>
        <v/>
      </c>
    </row>
    <row r="9">
      <c r="A9" s="3" t="inlineStr">
        <is>
          <t>Pendientes</t>
        </is>
      </c>
      <c r="B9" s="3">
        <f>COUNTIF('Casos de prueba'!K2:K76,"Pendiente")</f>
        <v/>
      </c>
    </row>
    <row r="10">
      <c r="A10" s="3" t="inlineStr">
        <is>
          <t>% avance</t>
        </is>
      </c>
      <c r="B10" s="3">
        <f>IFERROR((B6+B7)/B5,0)</f>
        <v/>
      </c>
    </row>
    <row r="11">
      <c r="A11" s="3" t="inlineStr"/>
      <c r="B11" s="4" t="inlineStr"/>
    </row>
    <row r="12">
      <c r="A12" s="5" t="inlineStr">
        <is>
          <t>Por prioridad</t>
        </is>
      </c>
      <c r="B12" s="3" t="inlineStr"/>
    </row>
    <row r="13">
      <c r="A13" s="3" t="inlineStr">
        <is>
          <t>Alta</t>
        </is>
      </c>
      <c r="B13" s="3">
        <f>COUNTIF('Casos de prueba'!F2:F76,"Alta")</f>
        <v/>
      </c>
    </row>
    <row r="14">
      <c r="A14" s="3" t="inlineStr">
        <is>
          <t>Media</t>
        </is>
      </c>
      <c r="B14" s="3">
        <f>COUNTIF('Casos de prueba'!F2:F76,"Media")</f>
        <v/>
      </c>
    </row>
    <row r="15">
      <c r="A15" s="3" t="inlineStr">
        <is>
          <t>Baja</t>
        </is>
      </c>
      <c r="B15" s="3">
        <f>COUNTIF('Casos de prueba'!F2:F76,"Baja")</f>
        <v/>
      </c>
    </row>
    <row r="16">
      <c r="A16" s="3" t="inlineStr"/>
      <c r="B16" s="3" t="inlineStr"/>
    </row>
    <row r="17">
      <c r="A17" s="5" t="inlineStr">
        <is>
          <t>Por tipo</t>
        </is>
      </c>
      <c r="B17" s="3" t="inlineStr"/>
    </row>
    <row r="18">
      <c r="A18" s="3" t="inlineStr">
        <is>
          <t>E2E</t>
        </is>
      </c>
      <c r="B18" s="3">
        <f>COUNTIF('Casos de prueba'!E2:E76,"E2E")</f>
        <v/>
      </c>
    </row>
    <row r="19">
      <c r="A19" s="3" t="inlineStr">
        <is>
          <t>Integracion</t>
        </is>
      </c>
      <c r="B19" s="3">
        <f>COUNTIF('Casos de prueba'!E2:E76,"Integracion")</f>
        <v/>
      </c>
    </row>
    <row r="20">
      <c r="A20" s="3" t="inlineStr">
        <is>
          <t>Regresion</t>
        </is>
      </c>
      <c r="B20" s="3">
        <f>COUNTIF('Casos de prueba'!E2:E76,"Regresion")</f>
        <v/>
      </c>
    </row>
    <row r="21">
      <c r="A21" s="3" t="inlineStr">
        <is>
          <t>Seguridad</t>
        </is>
      </c>
      <c r="B21" s="3">
        <f>COUNTIF('Casos de prueba'!E2:E76,"Seguridad")</f>
        <v/>
      </c>
    </row>
    <row r="22">
      <c r="A22" s="3" t="inlineStr">
        <is>
          <t>Hallazgo</t>
        </is>
      </c>
      <c r="B22" s="3">
        <f>COUNTIF('Casos de prueba'!E2:E76,"Hallazgo")</f>
        <v/>
      </c>
    </row>
    <row r="23">
      <c r="A23" s="3" t="inlineStr"/>
      <c r="B23" s="3" t="inlineStr"/>
    </row>
    <row r="24">
      <c r="A24" s="5" t="inlineStr">
        <is>
          <t>Por modulo (profundidad)</t>
        </is>
      </c>
      <c r="B24" s="3" t="inlineStr"/>
    </row>
    <row r="25">
      <c r="A25" s="3" t="inlineStr">
        <is>
          <t>Usuarios / Sesion</t>
        </is>
      </c>
      <c r="B25" s="3">
        <f>COUNTIF('Casos de prueba'!D2:D76,"*utenticacion*")+COUNTIF('Casos de prueba'!D2:D76,"*Sesion*")</f>
        <v/>
      </c>
    </row>
    <row r="26">
      <c r="A26" s="3" t="inlineStr">
        <is>
          <t>Pagos</t>
        </is>
      </c>
      <c r="B26" s="3">
        <f>COUNTIF('Casos de prueba'!D2:D76,"*Pagos*")</f>
        <v/>
      </c>
    </row>
    <row r="27">
      <c r="A27" s="3" t="inlineStr">
        <is>
          <t>Inventario</t>
        </is>
      </c>
      <c r="B27" s="3">
        <f>COUNTIF('Casos de prueba'!D2:D76,"*Inventario*")</f>
        <v/>
      </c>
    </row>
    <row r="28">
      <c r="A28" s="6" t="inlineStr">
        <is>
          <t>Como usar esta hoja: en 'Casos de prueba' llena solo las columnas de fondo amarillo (Estado, Resultado obtenido, Evidencia, Observaciones, Fecha). Estado se elige de la lista. Los contadores de arriba se actualizan solos. Las filas CP-01 a CP-48 vienen de la corrida del plan original (regresion); CP-49 en adelante son la profundizacion nueva en Usuarios, Pagos e Inventario, mas el resto de modulos.</t>
        </is>
      </c>
    </row>
    <row r="29"/>
    <row r="30"/>
    <row r="31"/>
    <row r="32"/>
    <row r="33"/>
  </sheetData>
  <mergeCells count="1">
    <mergeCell ref="A28:B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14" customWidth="1" min="3" max="3"/>
    <col width="26" customWidth="1" min="4" max="4"/>
    <col width="13" customWidth="1" min="5" max="5"/>
    <col width="10" customWidth="1" min="6" max="6"/>
    <col width="34" customWidth="1" min="7" max="7"/>
    <col width="56" customWidth="1" min="8" max="8"/>
    <col width="22" customWidth="1" min="9" max="9"/>
    <col width="52" customWidth="1" min="10" max="10"/>
    <col width="13" customWidth="1" min="11" max="11"/>
    <col width="40" customWidth="1" min="12" max="12"/>
    <col width="26" customWidth="1" min="13" max="13"/>
    <col width="26" customWidth="1" min="14" max="14"/>
    <col width="14" customWidth="1" min="15" max="15"/>
  </cols>
  <sheetData>
    <row r="1" ht="32" customHeight="1">
      <c r="A1" s="7" t="inlineStr">
        <is>
          <t>ID</t>
        </is>
      </c>
      <c r="B1" s="7" t="inlineStr">
        <is>
          <t>Flujo</t>
        </is>
      </c>
      <c r="C1" s="7" t="inlineStr">
        <is>
          <t>Rol</t>
        </is>
      </c>
      <c r="D1" s="7" t="inlineStr">
        <is>
          <t>Modulos involucrados</t>
        </is>
      </c>
      <c r="E1" s="7" t="inlineStr">
        <is>
          <t>Tipo</t>
        </is>
      </c>
      <c r="F1" s="7" t="inlineStr">
        <is>
          <t>Prioridad</t>
        </is>
      </c>
      <c r="G1" s="7" t="inlineStr">
        <is>
          <t>Precondicion</t>
        </is>
      </c>
      <c r="H1" s="7" t="inlineStr">
        <is>
          <t>Pasos</t>
        </is>
      </c>
      <c r="I1" s="7" t="inlineStr">
        <is>
          <t>Datos de prueba</t>
        </is>
      </c>
      <c r="J1" s="7" t="inlineStr">
        <is>
          <t>Resultado esperado</t>
        </is>
      </c>
      <c r="K1" s="7" t="inlineStr">
        <is>
          <t>Estado</t>
        </is>
      </c>
      <c r="L1" s="7" t="inlineStr">
        <is>
          <t>Resultado obtenido</t>
        </is>
      </c>
      <c r="M1" s="7" t="inlineStr">
        <is>
          <t>Evidencia</t>
        </is>
      </c>
      <c r="N1" s="7" t="inlineStr">
        <is>
          <t>Observaciones</t>
        </is>
      </c>
      <c r="O1" s="7" t="inlineStr">
        <is>
          <t>Fecha ejecucion</t>
        </is>
      </c>
    </row>
    <row r="2" ht="70" customHeight="1">
      <c r="A2" s="8" t="inlineStr">
        <is>
          <t>CP-01</t>
        </is>
      </c>
      <c r="B2" s="8" t="inlineStr">
        <is>
          <t>F1 Apertura del dia</t>
        </is>
      </c>
      <c r="C2" s="8" t="inlineStr">
        <is>
          <t>Recepcionista</t>
        </is>
      </c>
      <c r="D2" s="8" t="inlineStr">
        <is>
          <t>Login</t>
        </is>
      </c>
      <c r="E2" s="8" t="inlineStr">
        <is>
          <t>E2E</t>
        </is>
      </c>
      <c r="F2" s="8" t="inlineStr">
        <is>
          <t>Alta</t>
        </is>
      </c>
      <c r="G2" s="8" t="inlineStr">
        <is>
          <t>Backend y Postgres arriba. Sesion cerrada.</t>
        </is>
      </c>
      <c r="H2" s="8" t="inlineStr">
        <is>
          <t>1. Abrir http://localhost:3000
2. Escribir usuario y contrasena validos
3. Pulsar Ingresar</t>
        </is>
      </c>
      <c r="I2" s="8" t="inlineStr">
        <is>
          <t>Usuario: apexg</t>
        </is>
      </c>
      <c r="J2" s="8" t="inlineStr">
        <is>
          <t>Entra al selector de modulos. La contrasena no queda en la URL ni en el historial.</t>
        </is>
      </c>
      <c r="K2" s="9" t="inlineStr">
        <is>
          <t>OK</t>
        </is>
      </c>
      <c r="L2" s="9" t="inlineStr">
        <is>
          <t>Comportamiento conforme a lo esperado.</t>
        </is>
      </c>
      <c r="M2" s="9" t="inlineStr">
        <is>
          <t>test-finished-1.png, video.webm, trace.zip</t>
        </is>
      </c>
      <c r="N2" s="9" t="inlineStr">
        <is>
          <t>Automatizado con Playwright (3.6 s).</t>
        </is>
      </c>
      <c r="O2" s="9" t="inlineStr">
        <is>
          <t>2026-09-25</t>
        </is>
      </c>
    </row>
    <row r="3" ht="70" customHeight="1">
      <c r="A3" s="8" t="inlineStr">
        <is>
          <t>CP-02</t>
        </is>
      </c>
      <c r="B3" s="8" t="inlineStr">
        <is>
          <t>F1 Apertura del dia</t>
        </is>
      </c>
      <c r="C3" s="8" t="inlineStr">
        <is>
          <t>Recepcionista</t>
        </is>
      </c>
      <c r="D3" s="8" t="inlineStr">
        <is>
          <t>Selector de modulos</t>
        </is>
      </c>
      <c r="E3" s="8" t="inlineStr">
        <is>
          <t>E2E</t>
        </is>
      </c>
      <c r="F3" s="8" t="inlineStr">
        <is>
          <t>Media</t>
        </is>
      </c>
      <c r="G3" s="8" t="inlineStr">
        <is>
          <t>Sesion iniciada.</t>
        </is>
      </c>
      <c r="H3" s="8" t="inlineStr">
        <is>
          <t>1. Observar el selector
2. Contar las tarjetas visibles
3. Comprobar que cabe sin scroll a zoom 100%</t>
        </is>
      </c>
      <c r="I3" s="8" t="inlineStr">
        <is>
          <t>-</t>
        </is>
      </c>
      <c r="J3" s="8" t="inlineStr">
        <is>
          <t>Se ven solo los modulos que el rol permite (RF-02). Logo y saludo en la misma linea que la sesion. Los 8 modulos caben sin desplazar.</t>
        </is>
      </c>
      <c r="K3" s="9" t="inlineStr">
        <is>
          <t>OK</t>
        </is>
      </c>
      <c r="L3" s="9" t="inlineStr">
        <is>
          <t>Comportamiento conforme a lo esperado.</t>
        </is>
      </c>
      <c r="M3" s="9" t="inlineStr">
        <is>
          <t>selector-de-modulos, test-finished-1.png, video.webm, trace.zip</t>
        </is>
      </c>
      <c r="N3" s="9" t="inlineStr">
        <is>
          <t>Automatizado con Playwright (2.7 s).</t>
        </is>
      </c>
      <c r="O3" s="9" t="inlineStr">
        <is>
          <t>2026-09-25</t>
        </is>
      </c>
    </row>
    <row r="4" ht="70" customHeight="1">
      <c r="A4" s="8" t="inlineStr">
        <is>
          <t>CP-03</t>
        </is>
      </c>
      <c r="B4" s="8" t="inlineStr">
        <is>
          <t>F1 Apertura del dia</t>
        </is>
      </c>
      <c r="C4" s="8" t="inlineStr">
        <is>
          <t>Recepcionista</t>
        </is>
      </c>
      <c r="D4" s="8" t="inlineStr">
        <is>
          <t>Apartado diario</t>
        </is>
      </c>
      <c r="E4" s="8" t="inlineStr">
        <is>
          <t>E2E</t>
        </is>
      </c>
      <c r="F4" s="8" t="inlineStr">
        <is>
          <t>Alta</t>
        </is>
      </c>
      <c r="G4" s="8" t="inlineStr">
        <is>
          <t>Sesion iniciada. Hay clientes cargados.</t>
        </is>
      </c>
      <c r="H4" s="8" t="inlineStr">
        <is>
          <t>1. Entrar a Apartado diario
2. Abrir la pestana Ingresos
3. Hacer clic en la caja de busqueda SIN escribir nada
4. Hacer clic fuera</t>
        </is>
      </c>
      <c r="I4" s="8" t="inlineStr">
        <is>
          <t>-</t>
        </is>
      </c>
      <c r="J4" s="8" t="inlineStr">
        <is>
          <t>Al enfocar aparece la lista de clientes (hasta 20, alfabetica). Con mas de 3 hay scroll. Al salir del campo la lista desaparece.</t>
        </is>
      </c>
      <c r="K4" s="9" t="inlineStr">
        <is>
          <t>OK</t>
        </is>
      </c>
      <c r="L4" s="9" t="inlineStr">
        <is>
          <t>Comportamiento conforme a lo esperado.</t>
        </is>
      </c>
      <c r="M4" s="9" t="inlineStr">
        <is>
          <t>test-finished-1.png, video.webm, trace.zip</t>
        </is>
      </c>
      <c r="N4" s="9" t="inlineStr">
        <is>
          <t>Automatizado con Playwright (6.8 s).</t>
        </is>
      </c>
      <c r="O4" s="9" t="inlineStr">
        <is>
          <t>2026-09-25</t>
        </is>
      </c>
    </row>
    <row r="5" ht="70" customHeight="1">
      <c r="A5" s="8" t="inlineStr">
        <is>
          <t>CP-04</t>
        </is>
      </c>
      <c r="B5" s="8" t="inlineStr">
        <is>
          <t>F2 Ingresos de la manana</t>
        </is>
      </c>
      <c r="C5" s="8" t="inlineStr">
        <is>
          <t>Recepcionista</t>
        </is>
      </c>
      <c r="D5" s="8" t="inlineStr">
        <is>
          <t>Apartado diario, Clientes</t>
        </is>
      </c>
      <c r="E5" s="8" t="inlineStr">
        <is>
          <t>E2E</t>
        </is>
      </c>
      <c r="F5" s="8" t="inlineStr">
        <is>
          <t>Alta</t>
        </is>
      </c>
      <c r="G5" s="8" t="inlineStr">
        <is>
          <t>Cliente al dia, con cupo semanal disponible.</t>
        </is>
      </c>
      <c r="H5" s="8" t="inlineStr">
        <is>
          <t>1. Buscar el cliente por nombre
2. Comprobar plan, vencimiento y barras de cupo
3. Pulsar Registrar ingreso</t>
        </is>
      </c>
      <c r="I5" s="8" t="inlineStr">
        <is>
          <t>Cliente al dia</t>
        </is>
      </c>
      <c r="J5" s="8" t="inlineStr">
        <is>
          <t>Queda en la lista de abajo con su hora. Sube 'Dentro ahora'. Las barras de cupo avanzan en uno.</t>
        </is>
      </c>
      <c r="K5" s="9" t="inlineStr">
        <is>
          <t>OK</t>
        </is>
      </c>
      <c r="L5" s="9" t="inlineStr">
        <is>
          <t>Comportamiento conforme a lo esperado.</t>
        </is>
      </c>
      <c r="M5" s="9" t="inlineStr">
        <is>
          <t>test-finished-1.png, antes-del-ingreso, test-finished-2.png, video.webm, trace.zip</t>
        </is>
      </c>
      <c r="N5" s="9" t="inlineStr">
        <is>
          <t>Automatizado con Playwright (7.9 s).</t>
        </is>
      </c>
      <c r="O5" s="9" t="inlineStr">
        <is>
          <t>2026-09-25</t>
        </is>
      </c>
    </row>
    <row r="6" ht="70" customHeight="1">
      <c r="A6" s="8" t="inlineStr">
        <is>
          <t>CP-05</t>
        </is>
      </c>
      <c r="B6" s="8" t="inlineStr">
        <is>
          <t>F2 Ingresos de la manana</t>
        </is>
      </c>
      <c r="C6" s="8" t="inlineStr">
        <is>
          <t>Recepcionista</t>
        </is>
      </c>
      <c r="D6" s="8" t="inlineStr">
        <is>
          <t>Apartado diario</t>
        </is>
      </c>
      <c r="E6" s="8" t="inlineStr">
        <is>
          <t>E2E</t>
        </is>
      </c>
      <c r="F6" s="8" t="inlineStr">
        <is>
          <t>Alta</t>
        </is>
      </c>
      <c r="G6" s="8" t="inlineStr">
        <is>
          <t>El cliente del CP-04 sigue dentro.</t>
        </is>
      </c>
      <c r="H6" s="8" t="inlineStr">
        <is>
          <t>1. Pulsar Salida en su fila
2. Buscarlo otra vez
3. Pulsar Registrar ingreso de nuevo</t>
        </is>
      </c>
      <c r="I6" s="8" t="inlineStr">
        <is>
          <t>Mismo cliente</t>
        </is>
      </c>
      <c r="J6" s="8" t="inlineStr">
        <is>
          <t>Sale y vuelve SIN consumir otro dia del cupo. No se crea una segunda fila: se reabre la suya, conservando la hora del primer ingreso.</t>
        </is>
      </c>
      <c r="K6" s="9" t="inlineStr">
        <is>
          <t>OK</t>
        </is>
      </c>
      <c r="L6" s="9" t="inlineStr">
        <is>
          <t>Comportamiento conforme a lo esperado.</t>
        </is>
      </c>
      <c r="M6" s="9" t="inlineStr">
        <is>
          <t>test-finished-1.png, video.webm, trace.zip</t>
        </is>
      </c>
      <c r="N6" s="9" t="inlineStr">
        <is>
          <t>Automatizado con Playwright (5.9 s).</t>
        </is>
      </c>
      <c r="O6" s="9" t="inlineStr">
        <is>
          <t>2026-09-25</t>
        </is>
      </c>
    </row>
    <row r="7" ht="70" customHeight="1">
      <c r="A7" s="8" t="inlineStr">
        <is>
          <t>CP-06</t>
        </is>
      </c>
      <c r="B7" s="8" t="inlineStr">
        <is>
          <t>F2 Ingresos de la manana</t>
        </is>
      </c>
      <c r="C7" s="8" t="inlineStr">
        <is>
          <t>Recepcionista</t>
        </is>
      </c>
      <c r="D7" s="8" t="inlineStr">
        <is>
          <t>Apartado diario</t>
        </is>
      </c>
      <c r="E7" s="8" t="inlineStr">
        <is>
          <t>E2E</t>
        </is>
      </c>
      <c r="F7" s="8" t="inlineStr">
        <is>
          <t>Media</t>
        </is>
      </c>
      <c r="G7" s="8" t="inlineStr">
        <is>
          <t>Al menos 2 personas ingresaron y 1 marco salida.</t>
        </is>
      </c>
      <c r="H7" s="8" t="inlineStr">
        <is>
          <t>1. Leer el encabezado de la lista del dia</t>
        </is>
      </c>
      <c r="I7" s="8" t="inlineStr">
        <is>
          <t>-</t>
        </is>
      </c>
      <c r="J7" s="8" t="inlineStr">
        <is>
          <t>'Dentro ahora' cuenta solo a quien no ha salido. 'N personas ingresaron hoy' cuenta a todas. Las dos cifras difieren y ambas son correctas.</t>
        </is>
      </c>
      <c r="K7" s="9" t="inlineStr">
        <is>
          <t>OK</t>
        </is>
      </c>
      <c r="L7" s="9" t="inlineStr">
        <is>
          <t>Comportamiento conforme a lo esperado.</t>
        </is>
      </c>
      <c r="M7" s="9" t="inlineStr">
        <is>
          <t>contadores-del-dia, test-finished-1.png, video.webm, trace.zip</t>
        </is>
      </c>
      <c r="N7" s="9" t="inlineStr">
        <is>
          <t>Automatizado con Playwright (4.5 s).</t>
        </is>
      </c>
      <c r="O7" s="9" t="inlineStr">
        <is>
          <t>2026-09-25</t>
        </is>
      </c>
    </row>
    <row r="8" ht="70" customHeight="1">
      <c r="A8" s="8" t="inlineStr">
        <is>
          <t>CP-07</t>
        </is>
      </c>
      <c r="B8" s="8" t="inlineStr">
        <is>
          <t>F2 Ingresos de la manana</t>
        </is>
      </c>
      <c r="C8" s="8" t="inlineStr">
        <is>
          <t>Recepcionista</t>
        </is>
      </c>
      <c r="D8" s="8" t="inlineStr">
        <is>
          <t>Apartado diario, Membresias</t>
        </is>
      </c>
      <c r="E8" s="8" t="inlineStr">
        <is>
          <t>E2E</t>
        </is>
      </c>
      <c r="F8" s="8" t="inlineStr">
        <is>
          <t>Alta</t>
        </is>
      </c>
      <c r="G8" s="8" t="inlineStr">
        <is>
          <t>Cliente con plan de 3 dias que ya uso sus 3 dias de la semana.</t>
        </is>
      </c>
      <c r="H8" s="8" t="inlineStr">
        <is>
          <t>1. Buscarlo
2. Observar la fila</t>
        </is>
      </c>
      <c r="I8" s="8" t="inlineStr">
        <is>
          <t>Plan 3 veces/semana</t>
        </is>
      </c>
      <c r="J8" s="8" t="inlineStr">
        <is>
          <t>Fila en rojo con 'Ya uso todos sus dias de esta semana'. En vez de Registrar ingreso aparece 'Renovar o pagar dia'.</t>
        </is>
      </c>
      <c r="K8" s="9" t="inlineStr">
        <is>
          <t>OK</t>
        </is>
      </c>
      <c r="L8" s="9" t="inlineStr">
        <is>
          <t>Comportamiento conforme a lo esperado.</t>
        </is>
      </c>
      <c r="M8" s="9" t="inlineStr">
        <is>
          <t>cupo-agotado, test-finished-1.png, video.webm, trace.zip</t>
        </is>
      </c>
      <c r="N8" s="9" t="inlineStr">
        <is>
          <t>Automatizado con Playwright (7.3 s).</t>
        </is>
      </c>
      <c r="O8" s="9" t="inlineStr">
        <is>
          <t>2026-09-25</t>
        </is>
      </c>
    </row>
    <row r="9" ht="70" customHeight="1">
      <c r="A9" s="8" t="inlineStr">
        <is>
          <t>CP-08</t>
        </is>
      </c>
      <c r="B9" s="8" t="inlineStr">
        <is>
          <t>F2 Ingresos de la manana</t>
        </is>
      </c>
      <c r="C9" s="8" t="inlineStr">
        <is>
          <t>Recepcionista</t>
        </is>
      </c>
      <c r="D9" s="8" t="inlineStr">
        <is>
          <t>Apartado diario, Clientes</t>
        </is>
      </c>
      <c r="E9" s="8" t="inlineStr">
        <is>
          <t>E2E</t>
        </is>
      </c>
      <c r="F9" s="8" t="inlineStr">
        <is>
          <t>Alta</t>
        </is>
      </c>
      <c r="G9" s="8" t="inlineStr">
        <is>
          <t>Cliente cuya membresia ya vencio.</t>
        </is>
      </c>
      <c r="H9" s="8" t="inlineStr">
        <is>
          <t>1. Buscarlo
2. Observar la fila</t>
        </is>
      </c>
      <c r="I9" s="8" t="inlineStr">
        <is>
          <t>Cliente en mora</t>
        </is>
      </c>
      <c r="J9" s="8" t="inlineStr">
        <is>
          <t>Motivo en rojo: 'Membresia vencida. Debe renovar para ingresar.' Boton de cobro, no de ingreso.</t>
        </is>
      </c>
      <c r="K9" s="9" t="inlineStr">
        <is>
          <t>OK</t>
        </is>
      </c>
      <c r="L9" s="9" t="inlineStr">
        <is>
          <t>Comportamiento conforme a lo esperado.</t>
        </is>
      </c>
      <c r="M9" s="9" t="inlineStr">
        <is>
          <t>mora-bloqueada, test-finished-1.png, video.webm, trace.zip</t>
        </is>
      </c>
      <c r="N9" s="9" t="inlineStr">
        <is>
          <t>Automatizado con Playwright (5.2 s).</t>
        </is>
      </c>
      <c r="O9" s="9" t="inlineStr">
        <is>
          <t>2026-09-25</t>
        </is>
      </c>
    </row>
    <row r="10" ht="70" customHeight="1">
      <c r="A10" s="8" t="inlineStr">
        <is>
          <t>CP-09</t>
        </is>
      </c>
      <c r="B10" s="8" t="inlineStr">
        <is>
          <t>F2 Ingresos de la manana</t>
        </is>
      </c>
      <c r="C10" s="8" t="inlineStr">
        <is>
          <t>Recepcionista</t>
        </is>
      </c>
      <c r="D10" s="8" t="inlineStr">
        <is>
          <t>Apartado diario</t>
        </is>
      </c>
      <c r="E10" s="8" t="inlineStr">
        <is>
          <t>E2E</t>
        </is>
      </c>
      <c r="F10" s="8" t="inlineStr">
        <is>
          <t>Media</t>
        </is>
      </c>
      <c r="G10" s="8" t="inlineStr">
        <is>
          <t>Cliente sin ninguna membresia registrada.</t>
        </is>
      </c>
      <c r="H10" s="8" t="inlineStr">
        <is>
          <t>1. Buscarlo
2. Observar la fila</t>
        </is>
      </c>
      <c r="I10" s="8" t="inlineStr">
        <is>
          <t>Cliente sin plan</t>
        </is>
      </c>
      <c r="J10" s="8" t="inlineStr">
        <is>
          <t>Dice 'No tiene una membresia registrada'. NO ofrece boton de cobro, porque no hay plan que renovar. Tampoco muestra barras de cupo.</t>
        </is>
      </c>
      <c r="K10" s="9" t="inlineStr">
        <is>
          <t>No aplica</t>
        </is>
      </c>
      <c r="L10" s="9" t="inlineStr">
        <is>
          <t>No automatizable: el formulario de cliente exige un plan, asi que el estado 'sin membresia' no se puede crear por la interfaz.</t>
        </is>
      </c>
      <c r="M10" s="9" t="inlineStr">
        <is>
          <t>-</t>
        </is>
      </c>
      <c r="N10" s="9" t="inlineStr">
        <is>
          <t>Queda como prueba manual sobre un registro historico.</t>
        </is>
      </c>
      <c r="O10" s="9" t="inlineStr">
        <is>
          <t>2026-09-25</t>
        </is>
      </c>
    </row>
    <row r="11" ht="70" customHeight="1">
      <c r="A11" s="8" t="inlineStr">
        <is>
          <t>CP-10</t>
        </is>
      </c>
      <c r="B11" s="8" t="inlineStr">
        <is>
          <t>F3 Vencido paga y entra</t>
        </is>
      </c>
      <c r="C11" s="8" t="inlineStr">
        <is>
          <t>Recepcionista</t>
        </is>
      </c>
      <c r="D11" s="8" t="inlineStr">
        <is>
          <t>Apartado diario -&gt; Pagos</t>
        </is>
      </c>
      <c r="E11" s="8" t="inlineStr">
        <is>
          <t>Integracion</t>
        </is>
      </c>
      <c r="F11" s="8" t="inlineStr">
        <is>
          <t>Alta</t>
        </is>
      </c>
      <c r="G11" s="8" t="inlineStr">
        <is>
          <t>Cliente en mora localizado en el panel (CP-08).</t>
        </is>
      </c>
      <c r="H11" s="8" t="inlineStr">
        <is>
          <t>1. Pulsar 'Renovar o pagar dia'</t>
        </is>
      </c>
      <c r="I11" s="8" t="inlineStr">
        <is>
          <t>Cliente en mora</t>
        </is>
      </c>
      <c r="J11" s="8" t="inlineStr">
        <is>
          <t>Abre Registrar pago CON EL CLIENTE YA SELECCIONADO. No hay que buscarlo otra vez.</t>
        </is>
      </c>
      <c r="K11" s="9" t="inlineStr">
        <is>
          <t>OK</t>
        </is>
      </c>
      <c r="L11" s="9" t="inlineStr">
        <is>
          <t>Comportamiento conforme a lo esperado.</t>
        </is>
      </c>
      <c r="M11" s="9" t="inlineStr">
        <is>
          <t>test-finished-1.png, cobro-preseleccionado, test-finished-2.png, video.webm, trace.zip</t>
        </is>
      </c>
      <c r="N11" s="9" t="inlineStr">
        <is>
          <t>Automatizado con Playwright (7.5 s).</t>
        </is>
      </c>
      <c r="O11" s="9" t="inlineStr">
        <is>
          <t>2026-09-25</t>
        </is>
      </c>
    </row>
    <row r="12" ht="70" customHeight="1">
      <c r="A12" s="8" t="inlineStr">
        <is>
          <t>CP-11</t>
        </is>
      </c>
      <c r="B12" s="8" t="inlineStr">
        <is>
          <t>F3 Vencido paga y entra</t>
        </is>
      </c>
      <c r="C12" s="8" t="inlineStr">
        <is>
          <t>Recepcionista</t>
        </is>
      </c>
      <c r="D12" s="8" t="inlineStr">
        <is>
          <t>Pagos, Clientes</t>
        </is>
      </c>
      <c r="E12" s="8" t="inlineStr">
        <is>
          <t>E2E</t>
        </is>
      </c>
      <c r="F12" s="8" t="inlineStr">
        <is>
          <t>Alta</t>
        </is>
      </c>
      <c r="G12" s="8" t="inlineStr">
        <is>
          <t>Viene del CP-10.</t>
        </is>
      </c>
      <c r="H12" s="8" t="inlineStr">
        <is>
          <t>1. Leer el aviso del resumen
2. Comprobar el monto
3. Metodo Efectivo
4. Pulsar guardar</t>
        </is>
      </c>
      <c r="I12" s="8" t="inlineStr">
        <is>
          <t>Efectivo, valor del plan</t>
        </is>
      </c>
      <c r="J12" s="8" t="inlineStr">
        <is>
          <t>Avisa 'Membresia vencida el &lt;fecha&gt;'. Muestra 'Valor a cobrar', no 'Saldo pendiente'. El boton dice 'Renovar y registrar pago'. Al guardar abre un periodo nuevo del MISMO plan desde hoy y registra el pago contra el.</t>
        </is>
      </c>
      <c r="K12" s="9" t="inlineStr">
        <is>
          <t>OK</t>
        </is>
      </c>
      <c r="L12" s="9" t="inlineStr">
        <is>
          <t>Comportamiento conforme a lo esperado.</t>
        </is>
      </c>
      <c r="M12" s="9" t="inlineStr">
        <is>
          <t>resumen-antes-de-cobrar, test-finished-1.png, video.webm, trace.zip</t>
        </is>
      </c>
      <c r="N12" s="9" t="inlineStr">
        <is>
          <t>Automatizado con Playwright (9.7 s).</t>
        </is>
      </c>
      <c r="O12" s="9" t="inlineStr">
        <is>
          <t>2026-09-25</t>
        </is>
      </c>
    </row>
    <row r="13" ht="70" customHeight="1">
      <c r="A13" s="8" t="inlineStr">
        <is>
          <t>CP-12</t>
        </is>
      </c>
      <c r="B13" s="8" t="inlineStr">
        <is>
          <t>F3 Vencido paga y entra</t>
        </is>
      </c>
      <c r="C13" s="8" t="inlineStr">
        <is>
          <t>Recepcionista</t>
        </is>
      </c>
      <c r="D13" s="8" t="inlineStr">
        <is>
          <t>Pagos -&gt; Apartado diario</t>
        </is>
      </c>
      <c r="E13" s="8" t="inlineStr">
        <is>
          <t>Integracion</t>
        </is>
      </c>
      <c r="F13" s="8" t="inlineStr">
        <is>
          <t>Alta</t>
        </is>
      </c>
      <c r="G13" s="8" t="inlineStr">
        <is>
          <t>Viene del CP-11.</t>
        </is>
      </c>
      <c r="H13" s="8" t="inlineStr">
        <is>
          <t>1. Volver a Apartado diario &gt; Ingresos
2. Buscar al mismo cliente
3. Registrar ingreso</t>
        </is>
      </c>
      <c r="I13" s="8" t="inlineStr">
        <is>
          <t>Mismo cliente</t>
        </is>
      </c>
      <c r="J13" s="8" t="inlineStr">
        <is>
          <t>Ya NO aparece bloqueado. El plan mostrado es el del periodo nuevo. El ingreso se registra. El circuito queda cerrado.</t>
        </is>
      </c>
      <c r="K13" s="9" t="inlineStr">
        <is>
          <t>OK</t>
        </is>
      </c>
      <c r="L13" s="9" t="inlineStr">
        <is>
          <t>Comportamiento conforme a lo esperado.</t>
        </is>
      </c>
      <c r="M13" s="9" t="inlineStr">
        <is>
          <t>circuito-cerrado, test-finished-1.png, video.webm, trace.zip</t>
        </is>
      </c>
      <c r="N13" s="9" t="inlineStr">
        <is>
          <t>Automatizado con Playwright (5.5 s).</t>
        </is>
      </c>
      <c r="O13" s="9" t="inlineStr">
        <is>
          <t>2026-09-25</t>
        </is>
      </c>
    </row>
    <row r="14" ht="70" customHeight="1">
      <c r="A14" s="8" t="inlineStr">
        <is>
          <t>CP-13</t>
        </is>
      </c>
      <c r="B14" s="8" t="inlineStr">
        <is>
          <t>F3 Vencido paga y entra</t>
        </is>
      </c>
      <c r="C14" s="8" t="inlineStr">
        <is>
          <t>Recepcionista</t>
        </is>
      </c>
      <c r="D14" s="8" t="inlineStr">
        <is>
          <t>Apartado diario, Clientes</t>
        </is>
      </c>
      <c r="E14" s="8" t="inlineStr">
        <is>
          <t>Regresion</t>
        </is>
      </c>
      <c r="F14" s="8" t="inlineStr">
        <is>
          <t>Alta</t>
        </is>
      </c>
      <c r="G14" s="8" t="inlineStr">
        <is>
          <t>Cliente al que se le cambio de plan al menos una vez.</t>
        </is>
      </c>
      <c r="H14" s="8" t="inlineStr">
        <is>
          <t>1. Buscarlo en el panel de ingreso</t>
        </is>
      </c>
      <c r="I14" s="8" t="inlineStr">
        <is>
          <t>Cliente con 2+ membresias</t>
        </is>
      </c>
      <c r="J14" s="8" t="inlineStr">
        <is>
          <t>Aparece UNA SOLA FILA, con el plan vigente. No se repite una vez por cada membresia historica.</t>
        </is>
      </c>
      <c r="K14" s="9" t="inlineStr">
        <is>
          <t>OK</t>
        </is>
      </c>
      <c r="L14" s="9" t="inlineStr">
        <is>
          <t>Comportamiento conforme a lo esperado.</t>
        </is>
      </c>
      <c r="M14" s="9" t="inlineStr">
        <is>
          <t>test-finished-1.png, video.webm, trace.zip</t>
        </is>
      </c>
      <c r="N14" s="9" t="inlineStr">
        <is>
          <t>Automatizado con Playwright (4.8 s).</t>
        </is>
      </c>
      <c r="O14" s="9" t="inlineStr">
        <is>
          <t>2026-09-25</t>
        </is>
      </c>
    </row>
    <row r="15" ht="70" customHeight="1">
      <c r="A15" s="8" t="inlineStr">
        <is>
          <t>CP-14</t>
        </is>
      </c>
      <c r="B15" s="8" t="inlineStr">
        <is>
          <t>F4 Cobro con evidencia</t>
        </is>
      </c>
      <c r="C15" s="8" t="inlineStr">
        <is>
          <t>Recepcionista</t>
        </is>
      </c>
      <c r="D15" s="8" t="inlineStr">
        <is>
          <t>Pagos</t>
        </is>
      </c>
      <c r="E15" s="8" t="inlineStr">
        <is>
          <t>E2E</t>
        </is>
      </c>
      <c r="F15" s="8" t="inlineStr">
        <is>
          <t>Alta</t>
        </is>
      </c>
      <c r="G15" s="8" t="inlineStr">
        <is>
          <t>Cliente con saldo pendiente.</t>
        </is>
      </c>
      <c r="H15" s="8" t="inlineStr">
        <is>
          <t>1. Seleccionarlo
2. Monto valido
3. Metodo Transferencia
4. NO adjuntar nada
5. Guardar</t>
        </is>
      </c>
      <c r="I15" s="8" t="inlineStr">
        <is>
          <t>Transferencia</t>
        </is>
      </c>
      <c r="J15" s="8" t="inlineStr">
        <is>
          <t>Rechaza: 'Adjunta el comprobante: es obligatorio si el pago no es en efectivo.' No se registra nada.</t>
        </is>
      </c>
      <c r="K15" s="9" t="inlineStr">
        <is>
          <t>OK</t>
        </is>
      </c>
      <c r="L15" s="9" t="inlineStr">
        <is>
          <t>Comportamiento conforme a lo esperado.</t>
        </is>
      </c>
      <c r="M15" s="9" t="inlineStr">
        <is>
          <t>test-finished-1.png, rechazo-sin-comprobante, test-finished-2.png, video.webm, trace.zip</t>
        </is>
      </c>
      <c r="N15" s="9" t="inlineStr">
        <is>
          <t>Automatizado con Playwright (4.4 s).</t>
        </is>
      </c>
      <c r="O15" s="9" t="inlineStr">
        <is>
          <t>2026-09-25</t>
        </is>
      </c>
    </row>
    <row r="16" ht="70" customHeight="1">
      <c r="A16" s="8" t="inlineStr">
        <is>
          <t>CP-15</t>
        </is>
      </c>
      <c r="B16" s="8" t="inlineStr">
        <is>
          <t>F4 Cobro con evidencia</t>
        </is>
      </c>
      <c r="C16" s="8" t="inlineStr">
        <is>
          <t>Recepcionista</t>
        </is>
      </c>
      <c r="D16" s="8" t="inlineStr">
        <is>
          <t>Pagos</t>
        </is>
      </c>
      <c r="E16" s="8" t="inlineStr">
        <is>
          <t>E2E</t>
        </is>
      </c>
      <c r="F16" s="8" t="inlineStr">
        <is>
          <t>Alta</t>
        </is>
      </c>
      <c r="G16" s="8" t="inlineStr">
        <is>
          <t>Viene del CP-14.</t>
        </is>
      </c>
      <c r="H16" s="8" t="inlineStr">
        <is>
          <t>1. Adjuntar una imagen (seleccionar, arrastrar o Ctrl+V)
2. Guardar</t>
        </is>
      </c>
      <c r="I16" s="8" t="inlineStr">
        <is>
          <t>JPG/PNG menor a 5MB</t>
        </is>
      </c>
      <c r="J16" s="8" t="inlineStr">
        <is>
          <t>Se registra. El archivo queda en disco con nombre generado por el servidor, nunca con el nombre original que mando el navegador.</t>
        </is>
      </c>
      <c r="K16" s="9" t="inlineStr">
        <is>
          <t>OK</t>
        </is>
      </c>
      <c r="L16" s="9" t="inlineStr">
        <is>
          <t>Comportamiento conforme a lo esperado.</t>
        </is>
      </c>
      <c r="M16" s="9" t="inlineStr">
        <is>
          <t>test-finished-1.png, video.webm, trace.zip</t>
        </is>
      </c>
      <c r="N16" s="9" t="inlineStr">
        <is>
          <t>Automatizado con Playwright (7.4 s).</t>
        </is>
      </c>
      <c r="O16" s="9" t="inlineStr">
        <is>
          <t>2026-09-25</t>
        </is>
      </c>
    </row>
    <row r="17" ht="70" customHeight="1">
      <c r="A17" s="8" t="inlineStr">
        <is>
          <t>CP-16</t>
        </is>
      </c>
      <c r="B17" s="8" t="inlineStr">
        <is>
          <t>F4 Cobro con evidencia</t>
        </is>
      </c>
      <c r="C17" s="8" t="inlineStr">
        <is>
          <t>Recepcionista</t>
        </is>
      </c>
      <c r="D17" s="8" t="inlineStr">
        <is>
          <t>Pagos</t>
        </is>
      </c>
      <c r="E17" s="8" t="inlineStr">
        <is>
          <t>E2E</t>
        </is>
      </c>
      <c r="F17" s="8" t="inlineStr">
        <is>
          <t>Media</t>
        </is>
      </c>
      <c r="G17" s="8" t="inlineStr">
        <is>
          <t>Existe al menos un pago con comprobante.</t>
        </is>
      </c>
      <c r="H17" s="8" t="inlineStr">
        <is>
          <t>1. Ir a Todos los pagos
2. Pulsar el icono de ojo de ese pago
3. Cerrar</t>
        </is>
      </c>
      <c r="I17" s="8" t="inlineStr">
        <is>
          <t>-</t>
        </is>
      </c>
      <c r="J17" s="8" t="inlineStr">
        <is>
          <t>Se abre un panel SOBRE el listado con la imagen. No navega a otra pagina ni deja ver la URL. Cierra con la X o con Escape.</t>
        </is>
      </c>
      <c r="K17" s="9" t="inlineStr">
        <is>
          <t>OK</t>
        </is>
      </c>
      <c r="L17" s="9" t="inlineStr">
        <is>
          <t>Comportamiento conforme a lo esperado.</t>
        </is>
      </c>
      <c r="M17" s="9" t="inlineStr">
        <is>
          <t>visor-de-comprobante, test-finished-1.png, video.webm, trace.zip</t>
        </is>
      </c>
      <c r="N17" s="9" t="inlineStr">
        <is>
          <t>Automatizado con Playwright (4.1 s).</t>
        </is>
      </c>
      <c r="O17" s="9" t="inlineStr">
        <is>
          <t>2026-09-25</t>
        </is>
      </c>
    </row>
    <row r="18" ht="70" customHeight="1">
      <c r="A18" s="8" t="inlineStr">
        <is>
          <t>CP-17</t>
        </is>
      </c>
      <c r="B18" s="8" t="inlineStr">
        <is>
          <t>F4 Cobro con evidencia</t>
        </is>
      </c>
      <c r="C18" s="8" t="inlineStr">
        <is>
          <t>Recepcionista</t>
        </is>
      </c>
      <c r="D18" s="8" t="inlineStr">
        <is>
          <t>Pagos</t>
        </is>
      </c>
      <c r="E18" s="8" t="inlineStr">
        <is>
          <t>E2E</t>
        </is>
      </c>
      <c r="F18" s="8" t="inlineStr">
        <is>
          <t>Media</t>
        </is>
      </c>
      <c r="G18" s="8" t="inlineStr">
        <is>
          <t>Formulario de pago con Transferencia y archivo adjunto.</t>
        </is>
      </c>
      <c r="H18" s="8" t="inlineStr">
        <is>
          <t>1. Cambiar el metodo a Efectivo
2. Volver a Transferencia</t>
        </is>
      </c>
      <c r="I18" s="8" t="inlineStr">
        <is>
          <t>-</t>
        </is>
      </c>
      <c r="J18" s="8" t="inlineStr">
        <is>
          <t>El campo de comprobante desaparece Y el archivo se descarta. Al volver a Transferencia el campo aparece vacio, no con el archivo anterior.</t>
        </is>
      </c>
      <c r="K18" s="9" t="inlineStr">
        <is>
          <t>OK</t>
        </is>
      </c>
      <c r="L18" s="9" t="inlineStr">
        <is>
          <t>Comportamiento conforme a lo esperado.</t>
        </is>
      </c>
      <c r="M18" s="9" t="inlineStr">
        <is>
          <t>test-finished-1.png, video.webm, trace.zip</t>
        </is>
      </c>
      <c r="N18" s="9" t="inlineStr">
        <is>
          <t>Automatizado con Playwright (3.9 s).</t>
        </is>
      </c>
      <c r="O18" s="9" t="inlineStr">
        <is>
          <t>2026-09-25</t>
        </is>
      </c>
    </row>
    <row r="19" ht="70" customHeight="1">
      <c r="A19" s="8" t="inlineStr">
        <is>
          <t>CP-18</t>
        </is>
      </c>
      <c r="B19" s="8" t="inlineStr">
        <is>
          <t>F4 Cobro con evidencia</t>
        </is>
      </c>
      <c r="C19" s="8" t="inlineStr">
        <is>
          <t>Recepcionista</t>
        </is>
      </c>
      <c r="D19" s="8" t="inlineStr">
        <is>
          <t>Pagos, Membresias</t>
        </is>
      </c>
      <c r="E19" s="8" t="inlineStr">
        <is>
          <t>E2E</t>
        </is>
      </c>
      <c r="F19" s="8" t="inlineStr">
        <is>
          <t>Media</t>
        </is>
      </c>
      <c r="G19" s="8" t="inlineStr">
        <is>
          <t>Cliente con plan que exige abono minimo.</t>
        </is>
      </c>
      <c r="H19" s="8" t="inlineStr">
        <is>
          <t>1. Seleccionarlo
2. Monto por debajo del minimo
3. Guardar</t>
        </is>
      </c>
      <c r="I19" s="8" t="inlineStr">
        <is>
          <t>Monto 10.000</t>
        </is>
      </c>
      <c r="J19" s="8" t="inlineStr">
        <is>
          <t>Rechaza indicando el minimo del plan por su nombre. No se registra.</t>
        </is>
      </c>
      <c r="K19" s="9" t="inlineStr">
        <is>
          <t>OK</t>
        </is>
      </c>
      <c r="L19" s="9" t="inlineStr">
        <is>
          <t>Comportamiento conforme a lo esperado.</t>
        </is>
      </c>
      <c r="M19" s="9" t="inlineStr">
        <is>
          <t>abono-minimo, test-finished-1.png, video.webm, trace.zip</t>
        </is>
      </c>
      <c r="N19" s="9" t="inlineStr">
        <is>
          <t>Automatizado con Playwright (4.5 s).</t>
        </is>
      </c>
      <c r="O19" s="9" t="inlineStr">
        <is>
          <t>2026-09-25</t>
        </is>
      </c>
    </row>
    <row r="20" ht="70" customHeight="1">
      <c r="A20" s="8" t="inlineStr">
        <is>
          <t>CP-19</t>
        </is>
      </c>
      <c r="B20" s="8" t="inlineStr">
        <is>
          <t>F5 Alta de cliente</t>
        </is>
      </c>
      <c r="C20" s="8" t="inlineStr">
        <is>
          <t>Recepcionista</t>
        </is>
      </c>
      <c r="D20" s="8" t="inlineStr">
        <is>
          <t>Clientes</t>
        </is>
      </c>
      <c r="E20" s="8" t="inlineStr">
        <is>
          <t>E2E</t>
        </is>
      </c>
      <c r="F20" s="8" t="inlineStr">
        <is>
          <t>Alta</t>
        </is>
      </c>
      <c r="G20" s="8" t="inlineStr">
        <is>
          <t>Sesion iniciada.</t>
        </is>
      </c>
      <c r="H20" s="8" t="inlineStr">
        <is>
          <t>1. Clientes &gt; Agregar cliente
2. Llenar todos los campos
3. Guardar</t>
        </is>
      </c>
      <c r="I20" s="8" t="inlineStr">
        <is>
          <t>Documento no usado</t>
        </is>
      </c>
      <c r="J20" s="8" t="inlineStr">
        <is>
          <t>Se crea. El formulario NO pide 'Comentarios'. La fecha de vencimiento se calcula sola segun el plan.</t>
        </is>
      </c>
      <c r="K20" s="9" t="inlineStr">
        <is>
          <t>OK</t>
        </is>
      </c>
      <c r="L20" s="9" t="inlineStr">
        <is>
          <t>Comportamiento conforme a lo esperado.</t>
        </is>
      </c>
      <c r="M20" s="9" t="inlineStr">
        <is>
          <t>test-finished-1.png, vencimiento-derivado, test-finished-2.png, video.webm, trace.zip</t>
        </is>
      </c>
      <c r="N20" s="9" t="inlineStr">
        <is>
          <t>Automatizado con Playwright (12.3 s).</t>
        </is>
      </c>
      <c r="O20" s="9" t="inlineStr">
        <is>
          <t>2026-09-25</t>
        </is>
      </c>
    </row>
    <row r="21" ht="70" customHeight="1">
      <c r="A21" s="8" t="inlineStr">
        <is>
          <t>CP-20</t>
        </is>
      </c>
      <c r="B21" s="8" t="inlineStr">
        <is>
          <t>F5 Alta de cliente</t>
        </is>
      </c>
      <c r="C21" s="8" t="inlineStr">
        <is>
          <t>Recepcionista</t>
        </is>
      </c>
      <c r="D21" s="8" t="inlineStr">
        <is>
          <t>Clientes</t>
        </is>
      </c>
      <c r="E21" s="8" t="inlineStr">
        <is>
          <t>E2E</t>
        </is>
      </c>
      <c r="F21" s="8" t="inlineStr">
        <is>
          <t>Alta</t>
        </is>
      </c>
      <c r="G21" s="8" t="inlineStr">
        <is>
          <t>Formulario de cliente abierto (crear o editar).</t>
        </is>
      </c>
      <c r="H21" s="8" t="inlineStr">
        <is>
          <t>1. Dejar un campo obligatorio vacio
2. Desplazarse hasta abajo
3. Guardar</t>
        </is>
      </c>
      <c r="I21" s="8" t="inlineStr">
        <is>
          <t>Telefono vacio</t>
        </is>
      </c>
      <c r="J21" s="8" t="inlineStr">
        <is>
          <t>El foco salta al PRIMER campo invalido y lo desplaza a la vista. El mensaje aparece bajo ese campo y queda asociado a el para un lector de pantalla.</t>
        </is>
      </c>
      <c r="K21" s="9" t="inlineStr">
        <is>
          <t>OK</t>
        </is>
      </c>
      <c r="L21" s="9" t="inlineStr">
        <is>
          <t>Comportamiento conforme a lo esperado.</t>
        </is>
      </c>
      <c r="M21" s="9" t="inlineStr">
        <is>
          <t>primer-campo-invalido, test-finished-1.png, video.webm, trace.zip</t>
        </is>
      </c>
      <c r="N21" s="9" t="inlineStr">
        <is>
          <t>Automatizado con Playwright (6.0 s).</t>
        </is>
      </c>
      <c r="O21" s="9" t="inlineStr">
        <is>
          <t>2026-09-25</t>
        </is>
      </c>
    </row>
    <row r="22" ht="70" customHeight="1">
      <c r="A22" s="8" t="inlineStr">
        <is>
          <t>CP-21</t>
        </is>
      </c>
      <c r="B22" s="8" t="inlineStr">
        <is>
          <t>F5 Alta de cliente</t>
        </is>
      </c>
      <c r="C22" s="8" t="inlineStr">
        <is>
          <t>Recepcionista</t>
        </is>
      </c>
      <c r="D22" s="8" t="inlineStr">
        <is>
          <t>Clientes -&gt; Pagos -&gt; Apartado diario</t>
        </is>
      </c>
      <c r="E22" s="8" t="inlineStr">
        <is>
          <t>Integracion</t>
        </is>
      </c>
      <c r="F22" s="8" t="inlineStr">
        <is>
          <t>Alta</t>
        </is>
      </c>
      <c r="G22" s="8" t="inlineStr">
        <is>
          <t>Cliente recien creado del CP-19.</t>
        </is>
      </c>
      <c r="H22" s="8" t="inlineStr">
        <is>
          <t>1. Cobrarle su primera mensualidad
2. Ir a Apartado diario &gt; Ingresos
3. Registrar su ingreso</t>
        </is>
      </c>
      <c r="I22" s="8" t="inlineStr">
        <is>
          <t>Cliente nuevo</t>
        </is>
      </c>
      <c r="J22" s="8" t="inlineStr">
        <is>
          <t>El cobro y el ingreso funcionan sin pasos intermedios. El cliente nuevo aparece en las tres pantallas.</t>
        </is>
      </c>
      <c r="K22" s="9" t="inlineStr">
        <is>
          <t>OK</t>
        </is>
      </c>
      <c r="L22" s="9" t="inlineStr">
        <is>
          <t>Comportamiento conforme a lo esperado.</t>
        </is>
      </c>
      <c r="M22" s="9" t="inlineStr">
        <is>
          <t>test-finished-1.png, video.webm, trace.zip</t>
        </is>
      </c>
      <c r="N22" s="9" t="inlineStr">
        <is>
          <t>Automatizado con Playwright (11.2 s).</t>
        </is>
      </c>
      <c r="O22" s="9" t="inlineStr">
        <is>
          <t>2026-09-25</t>
        </is>
      </c>
    </row>
    <row r="23" ht="70" customHeight="1">
      <c r="A23" s="8" t="inlineStr">
        <is>
          <t>CP-22</t>
        </is>
      </c>
      <c r="B23" s="8" t="inlineStr">
        <is>
          <t>F6 Administrar planes</t>
        </is>
      </c>
      <c r="C23" s="8" t="inlineStr">
        <is>
          <t>Administrador</t>
        </is>
      </c>
      <c r="D23" s="8" t="inlineStr">
        <is>
          <t>Membresias</t>
        </is>
      </c>
      <c r="E23" s="8" t="inlineStr">
        <is>
          <t>E2E</t>
        </is>
      </c>
      <c r="F23" s="8" t="inlineStr">
        <is>
          <t>Alta</t>
        </is>
      </c>
      <c r="G23" s="8" t="inlineStr">
        <is>
          <t>Sesion de administrador.</t>
        </is>
      </c>
      <c r="H23" s="8" t="inlineStr">
        <is>
          <t>1. Membresias &gt; crear plan
2. Nombre, precio, vigencia
3. Dias por semana: 2
4. Guardar</t>
        </is>
      </c>
      <c r="I23" s="8" t="inlineStr">
        <is>
          <t>Plan 2 dias/semana</t>
        </is>
      </c>
      <c r="J23" s="8" t="inlineStr">
        <is>
          <t>Se crea con cupo 2. El campo es una lista de 1 a 6, sin opcion vacia y sin posibilidad de escribir un valor invalido.</t>
        </is>
      </c>
      <c r="K23" s="9" t="inlineStr">
        <is>
          <t>OK</t>
        </is>
      </c>
      <c r="L23" s="9" t="inlineStr">
        <is>
          <t>Comportamiento conforme a lo esperado.</t>
        </is>
      </c>
      <c r="M23" s="9" t="inlineStr">
        <is>
          <t>test-finished-1.png, cupo-semanal, test-finished-2.png, video.webm, trace.zip</t>
        </is>
      </c>
      <c r="N23" s="9" t="inlineStr">
        <is>
          <t>Automatizado con Playwright (8.2 s).</t>
        </is>
      </c>
      <c r="O23" s="9" t="inlineStr">
        <is>
          <t>2026-09-25</t>
        </is>
      </c>
    </row>
    <row r="24" ht="70" customHeight="1">
      <c r="A24" s="8" t="inlineStr">
        <is>
          <t>CP-23</t>
        </is>
      </c>
      <c r="B24" s="8" t="inlineStr">
        <is>
          <t>F6 Administrar planes</t>
        </is>
      </c>
      <c r="C24" s="8" t="inlineStr">
        <is>
          <t>Administrador</t>
        </is>
      </c>
      <c r="D24" s="8" t="inlineStr">
        <is>
          <t>Membresias -&gt; Clientes</t>
        </is>
      </c>
      <c r="E24" s="8" t="inlineStr">
        <is>
          <t>Integracion</t>
        </is>
      </c>
      <c r="F24" s="8" t="inlineStr">
        <is>
          <t>Alta</t>
        </is>
      </c>
      <c r="G24" s="8" t="inlineStr">
        <is>
          <t>Plan del CP-22 creado.</t>
        </is>
      </c>
      <c r="H24" s="8" t="inlineStr">
        <is>
          <t>1. Clientes &gt; editar un cliente
2. Cambiar su tipo de membresia a ese plan
3. Guardar</t>
        </is>
      </c>
      <c r="I24" s="8" t="inlineStr">
        <is>
          <t>-</t>
        </is>
      </c>
      <c r="J24" s="8" t="inlineStr">
        <is>
          <t>Se guarda. Se ABRE una membresia nueva y se cierra la anterior: los pagos ya registrados siguen atados al periodo en que se hicieron.</t>
        </is>
      </c>
      <c r="K24" s="9" t="inlineStr">
        <is>
          <t>OK</t>
        </is>
      </c>
      <c r="L24" s="9" t="inlineStr">
        <is>
          <t>Comportamiento conforme a lo esperado.</t>
        </is>
      </c>
      <c r="M24" s="9" t="inlineStr">
        <is>
          <t>test-finished-1.png, video.webm, trace.zip</t>
        </is>
      </c>
      <c r="N24" s="9" t="inlineStr">
        <is>
          <t>Automatizado con Playwright (16.0 s).</t>
        </is>
      </c>
      <c r="O24" s="9" t="inlineStr">
        <is>
          <t>2026-09-25</t>
        </is>
      </c>
    </row>
    <row r="25" ht="70" customHeight="1">
      <c r="A25" s="8" t="inlineStr">
        <is>
          <t>CP-24</t>
        </is>
      </c>
      <c r="B25" s="8" t="inlineStr">
        <is>
          <t>F6 Administrar planes</t>
        </is>
      </c>
      <c r="C25" s="8" t="inlineStr">
        <is>
          <t>Administrador</t>
        </is>
      </c>
      <c r="D25" s="8" t="inlineStr">
        <is>
          <t>Clientes -&gt; Apartado diario</t>
        </is>
      </c>
      <c r="E25" s="8" t="inlineStr">
        <is>
          <t>Integracion</t>
        </is>
      </c>
      <c r="F25" s="8" t="inlineStr">
        <is>
          <t>Alta</t>
        </is>
      </c>
      <c r="G25" s="8" t="inlineStr">
        <is>
          <t>Cliente con el plan de 2 dias del CP-23.</t>
        </is>
      </c>
      <c r="H25" s="8" t="inlineStr">
        <is>
          <t>1. Registrarle ingreso hoy
2. Registrarle un segundo dia distinto
3. Intentar un tercero</t>
        </is>
      </c>
      <c r="I25" s="8" t="inlineStr">
        <is>
          <t>-</t>
        </is>
      </c>
      <c r="J25" s="8" t="inlineStr">
        <is>
          <t>Las barras muestran 2 de 2. Al tercer dia distinto queda bloqueado por cupo agotado.</t>
        </is>
      </c>
      <c r="K25" s="9" t="inlineStr">
        <is>
          <t>OK</t>
        </is>
      </c>
      <c r="L25" s="9" t="inlineStr">
        <is>
          <t>Comportamiento conforme a lo esperado.</t>
        </is>
      </c>
      <c r="M25" s="9" t="inlineStr">
        <is>
          <t>cupo-del-plan-nuevo, test-finished-1.png, video.webm, trace.zip</t>
        </is>
      </c>
      <c r="N25" s="9" t="inlineStr">
        <is>
          <t>Automatizado con Playwright (7.9 s).</t>
        </is>
      </c>
      <c r="O25" s="9" t="inlineStr">
        <is>
          <t>2026-09-25</t>
        </is>
      </c>
    </row>
    <row r="26" ht="70" customHeight="1">
      <c r="A26" s="8" t="inlineStr">
        <is>
          <t>CP-25</t>
        </is>
      </c>
      <c r="B26" s="8" t="inlineStr">
        <is>
          <t>F7 Cierre del dia</t>
        </is>
      </c>
      <c r="C26" s="8" t="inlineStr">
        <is>
          <t>Recepcionista</t>
        </is>
      </c>
      <c r="D26" s="8" t="inlineStr">
        <is>
          <t>Apartado diario, Inventario</t>
        </is>
      </c>
      <c r="E26" s="8" t="inlineStr">
        <is>
          <t>E2E</t>
        </is>
      </c>
      <c r="F26" s="8" t="inlineStr">
        <is>
          <t>Media</t>
        </is>
      </c>
      <c r="G26" s="8" t="inlineStr">
        <is>
          <t>Hay producto con existencias.</t>
        </is>
      </c>
      <c r="H26" s="8" t="inlineStr">
        <is>
          <t>1. Apartado diario &gt; Registrar venta
2. Elegir producto y cantidad
3. Guardar
4. Revisar Inventario</t>
        </is>
      </c>
      <c r="I26" s="8" t="inlineStr">
        <is>
          <t>Producto con stock</t>
        </is>
      </c>
      <c r="J26" s="8" t="inlineStr">
        <is>
          <t>La venta queda registrada y el stock del producto baja exactamente en la cantidad vendida.</t>
        </is>
      </c>
      <c r="K26" s="9" t="inlineStr">
        <is>
          <t>OK</t>
        </is>
      </c>
      <c r="L26" s="9" t="inlineStr">
        <is>
          <t>Comportamiento conforme a lo esperado.</t>
        </is>
      </c>
      <c r="M26" s="9" t="inlineStr">
        <is>
          <t>venta-registrada, test-finished-1.png, video.webm, trace.zip</t>
        </is>
      </c>
      <c r="N26" s="9" t="inlineStr">
        <is>
          <t>Automatizado con Playwright (5.6 s).</t>
        </is>
      </c>
      <c r="O26" s="9" t="inlineStr">
        <is>
          <t>2026-09-25</t>
        </is>
      </c>
    </row>
    <row r="27" ht="70" customHeight="1">
      <c r="A27" s="8" t="inlineStr">
        <is>
          <t>CP-26</t>
        </is>
      </c>
      <c r="B27" s="8" t="inlineStr">
        <is>
          <t>F7 Cierre del dia</t>
        </is>
      </c>
      <c r="C27" s="8" t="inlineStr">
        <is>
          <t>Recepcionista</t>
        </is>
      </c>
      <c r="D27" s="8" t="inlineStr">
        <is>
          <t>Apartado diario, Pagos</t>
        </is>
      </c>
      <c r="E27" s="8" t="inlineStr">
        <is>
          <t>Integracion</t>
        </is>
      </c>
      <c r="F27" s="8" t="inlineStr">
        <is>
          <t>Alta</t>
        </is>
      </c>
      <c r="G27" s="8" t="inlineStr">
        <is>
          <t>Hubo al menos un pago y una venta hoy.</t>
        </is>
      </c>
      <c r="H27" s="8" t="inlineStr">
        <is>
          <t>1. Apartado diario &gt; Hoy
2. Desplegar el ingreso del dia</t>
        </is>
      </c>
      <c r="I27" s="8" t="inlineStr">
        <is>
          <t>-</t>
        </is>
      </c>
      <c r="J27" s="8" t="inlineStr">
        <is>
          <t>El total del dia se desglosa: cuanto vino de pagos de membresia (con nombre del cliente) y cuanto de venta de productos (con nombre del producto).</t>
        </is>
      </c>
      <c r="K27" s="9" t="inlineStr">
        <is>
          <t>OK</t>
        </is>
      </c>
      <c r="L27" s="9" t="inlineStr">
        <is>
          <t>Comportamiento conforme a lo esperado.</t>
        </is>
      </c>
      <c r="M27" s="9" t="inlineStr">
        <is>
          <t>ingreso-del-dia, test-finished-1.png, video.webm, trace.zip</t>
        </is>
      </c>
      <c r="N27" s="9" t="inlineStr">
        <is>
          <t>Automatizado con Playwright (18.4 s).</t>
        </is>
      </c>
      <c r="O27" s="9" t="inlineStr">
        <is>
          <t>2026-09-25</t>
        </is>
      </c>
    </row>
    <row r="28" ht="70" customHeight="1">
      <c r="A28" s="8" t="inlineStr">
        <is>
          <t>CP-27</t>
        </is>
      </c>
      <c r="B28" s="8" t="inlineStr">
        <is>
          <t>F7 Cierre del dia</t>
        </is>
      </c>
      <c r="C28" s="8" t="inlineStr">
        <is>
          <t>Administrador</t>
        </is>
      </c>
      <c r="D28" s="8" t="inlineStr">
        <is>
          <t>Egresos, Inventario</t>
        </is>
      </c>
      <c r="E28" s="8" t="inlineStr">
        <is>
          <t>E2E</t>
        </is>
      </c>
      <c r="F28" s="8" t="inlineStr">
        <is>
          <t>Baja</t>
        </is>
      </c>
      <c r="G28" s="8" t="inlineStr">
        <is>
          <t>Sesion de administrador.</t>
        </is>
      </c>
      <c r="H28" s="8" t="inlineStr">
        <is>
          <t>1. Egresos &gt; Categorias &gt; crear una
2. Inventario &gt; Categorias &gt; crear otra</t>
        </is>
      </c>
      <c r="I28" s="8" t="inlineStr">
        <is>
          <t>Nombre nuevo</t>
        </is>
      </c>
      <c r="J28" s="8" t="inlineStr">
        <is>
          <t>Se crea en ambos modulos. El panel es el mismo componente; el id lo asigna el backend, no la pantalla.</t>
        </is>
      </c>
      <c r="K28" s="9" t="inlineStr">
        <is>
          <t>OK</t>
        </is>
      </c>
      <c r="L28" s="9" t="inlineStr">
        <is>
          <t>Comportamiento conforme a lo esperado.</t>
        </is>
      </c>
      <c r="M28" s="9" t="inlineStr">
        <is>
          <t>test-finished-1.png, video.webm, trace.zip</t>
        </is>
      </c>
      <c r="N28" s="9" t="inlineStr">
        <is>
          <t>Automatizado con Playwright (9.4 s).</t>
        </is>
      </c>
      <c r="O28" s="9" t="inlineStr">
        <is>
          <t>2026-09-25</t>
        </is>
      </c>
    </row>
    <row r="29" ht="70" customHeight="1">
      <c r="A29" s="8" t="inlineStr">
        <is>
          <t>CP-28</t>
        </is>
      </c>
      <c r="B29" s="8" t="inlineStr">
        <is>
          <t>F8 Seguridad</t>
        </is>
      </c>
      <c r="C29" s="8" t="inlineStr">
        <is>
          <t>N/A (API)</t>
        </is>
      </c>
      <c r="D29" s="8" t="inlineStr">
        <is>
          <t>Asistencias, Pagos</t>
        </is>
      </c>
      <c r="E29" s="8" t="inlineStr">
        <is>
          <t>Seguridad</t>
        </is>
      </c>
      <c r="F29" s="8" t="inlineStr">
        <is>
          <t>Alta</t>
        </is>
      </c>
      <c r="G29" s="8" t="inlineStr">
        <is>
          <t>Cliente en mora identificado. Herramienta HTTP a mano.</t>
        </is>
      </c>
      <c r="H29" s="8" t="inlineStr">
        <is>
          <t>1. POST /attendances con ese clientId, sin pasar por la pantalla
2. GET /payments/&lt;id&gt;/receipt sin token</t>
        </is>
      </c>
      <c r="I29" s="8" t="inlineStr">
        <is>
          <t>curl o similar</t>
        </is>
      </c>
      <c r="J29" s="8" t="inlineStr">
        <is>
          <t>El ingreso se rechaza igual que en la pantalla: la regla esta en la API, no solo en la UI. El comprobante responde 401 sin sesion.</t>
        </is>
      </c>
      <c r="K29" s="9" t="inlineStr">
        <is>
          <t>OK</t>
        </is>
      </c>
      <c r="L29" s="9" t="inlineStr">
        <is>
          <t>Comportamiento conforme a lo esperado.</t>
        </is>
      </c>
      <c r="M29" s="9" t="inlineStr">
        <is>
          <t>test-finished-1.png, rechazo-de-la-api, comprobante-sin-sesion, test-finished-2.png, video.webm, trace.zip</t>
        </is>
      </c>
      <c r="N29" s="9" t="inlineStr">
        <is>
          <t>Automatizado con Playwright (8.3 s).</t>
        </is>
      </c>
      <c r="O29" s="9" t="inlineStr">
        <is>
          <t>2026-09-25</t>
        </is>
      </c>
    </row>
    <row r="30" ht="70" customHeight="1">
      <c r="A30" s="8" t="inlineStr">
        <is>
          <t>CP-29</t>
        </is>
      </c>
      <c r="B30" s="8" t="inlineStr">
        <is>
          <t>F9 La sesion aguanta la jornada</t>
        </is>
      </c>
      <c r="C30" s="8" t="inlineStr">
        <is>
          <t>Recepcionista</t>
        </is>
      </c>
      <c r="D30" s="8" t="inlineStr">
        <is>
          <t>Sesion / Autenticacion</t>
        </is>
      </c>
      <c r="E30" s="8" t="inlineStr">
        <is>
          <t>E2E</t>
        </is>
      </c>
      <c r="F30" s="8" t="inlineStr">
        <is>
          <t>Alta</t>
        </is>
      </c>
      <c r="G30" s="8" t="inlineStr">
        <is>
          <t>Sesion iniciada.</t>
        </is>
      </c>
      <c r="H30" s="8" t="inlineStr">
        <is>
          <t>1. Ir a cualquier pantalla
2. Llamar POST /api/auth/refresh
3. Comparar la cookie de sesion antes y despues</t>
        </is>
      </c>
      <c r="I30" s="8" t="inlineStr">
        <is>
          <t>-</t>
        </is>
      </c>
      <c r="J30" s="8" t="inlineStr">
        <is>
          <t>Devuelve 200. La cookie cambia de valor (token nuevo, no el mismo con otra fecha). La sesion sigue autenticada con el token nuevo.</t>
        </is>
      </c>
      <c r="K30" s="9" t="inlineStr">
        <is>
          <t>OK</t>
        </is>
      </c>
      <c r="L30" s="9" t="inlineStr">
        <is>
          <t>Comportamiento conforme a lo esperado.</t>
        </is>
      </c>
      <c r="M30" s="9" t="inlineStr">
        <is>
          <t>renovacion, test-finished-1.png, video.webm, trace.zip</t>
        </is>
      </c>
      <c r="N30" s="9" t="inlineStr">
        <is>
          <t>Automatizado con Playwright (2.2 s).</t>
        </is>
      </c>
      <c r="O30" s="9" t="inlineStr">
        <is>
          <t>2026-09-25</t>
        </is>
      </c>
    </row>
    <row r="31" ht="70" customHeight="1">
      <c r="A31" s="8" t="inlineStr">
        <is>
          <t>CP-30</t>
        </is>
      </c>
      <c r="B31" s="8" t="inlineStr">
        <is>
          <t>F9 La sesion aguanta la jornada</t>
        </is>
      </c>
      <c r="C31" s="8" t="inlineStr">
        <is>
          <t>N/A (API)</t>
        </is>
      </c>
      <c r="D31" s="8" t="inlineStr">
        <is>
          <t>Sesion / Autenticacion</t>
        </is>
      </c>
      <c r="E31" s="8" t="inlineStr">
        <is>
          <t>Seguridad</t>
        </is>
      </c>
      <c r="F31" s="8" t="inlineStr">
        <is>
          <t>Alta</t>
        </is>
      </c>
      <c r="G31" s="8" t="inlineStr">
        <is>
          <t>Sin sesion iniciada.</t>
        </is>
      </c>
      <c r="H31" s="8" t="inlineStr">
        <is>
          <t>1. Llamar POST /api/auth/refresh sin cookie de sesion</t>
        </is>
      </c>
      <c r="I31" s="8" t="inlineStr">
        <is>
          <t>-</t>
        </is>
      </c>
      <c r="J31" s="8" t="inlineStr">
        <is>
          <t>Responde 401. Un token caducado no se puede resucitar: renovar exige uno todavia vigente.</t>
        </is>
      </c>
      <c r="K31" s="9" t="inlineStr">
        <is>
          <t>OK</t>
        </is>
      </c>
      <c r="L31" s="9" t="inlineStr">
        <is>
          <t>Comportamiento conforme a lo esperado.</t>
        </is>
      </c>
      <c r="M31" s="9" t="inlineStr">
        <is>
          <t>test-finished-1.png, video.webm, trace.zip</t>
        </is>
      </c>
      <c r="N31" s="9" t="inlineStr">
        <is>
          <t>Automatizado con Playwright (1.9 s).</t>
        </is>
      </c>
      <c r="O31" s="9" t="inlineStr">
        <is>
          <t>2026-09-25</t>
        </is>
      </c>
    </row>
    <row r="32" ht="70" customHeight="1">
      <c r="A32" s="8" t="inlineStr">
        <is>
          <t>CP-31</t>
        </is>
      </c>
      <c r="B32" s="8" t="inlineStr">
        <is>
          <t>F9 La sesion aguanta la jornada</t>
        </is>
      </c>
      <c r="C32" s="8" t="inlineStr">
        <is>
          <t>Recepcionista</t>
        </is>
      </c>
      <c r="D32" s="8" t="inlineStr">
        <is>
          <t>Todos los modulos</t>
        </is>
      </c>
      <c r="E32" s="8" t="inlineStr">
        <is>
          <t>Regresion</t>
        </is>
      </c>
      <c r="F32" s="8" t="inlineStr">
        <is>
          <t>Alta</t>
        </is>
      </c>
      <c r="G32" s="8" t="inlineStr">
        <is>
          <t>Sesion iniciada.</t>
        </is>
      </c>
      <c r="H32" s="8" t="inlineStr">
        <is>
          <t>1. Navegar por Ingresos, Clientes, Pagos, Membresias, Hoy y de vuelta a Modulos, una tras otra</t>
        </is>
      </c>
      <c r="I32" s="8" t="inlineStr">
        <is>
          <t>-</t>
        </is>
      </c>
      <c r="J32" s="8" t="inlineStr">
        <is>
          <t>Ninguna navegacion rebota al login. La sesion aguanta moverse entre modulos.</t>
        </is>
      </c>
      <c r="K32" s="9" t="inlineStr">
        <is>
          <t>OK</t>
        </is>
      </c>
      <c r="L32" s="9" t="inlineStr">
        <is>
          <t>Comportamiento conforme a lo esperado.</t>
        </is>
      </c>
      <c r="M32" s="9" t="inlineStr">
        <is>
          <t>test-finished-1.png, video.webm, trace.zip</t>
        </is>
      </c>
      <c r="N32" s="9" t="inlineStr">
        <is>
          <t>Automatizado con Playwright (20.5 s).</t>
        </is>
      </c>
      <c r="O32" s="9" t="inlineStr">
        <is>
          <t>2026-09-25</t>
        </is>
      </c>
    </row>
    <row r="33" ht="70" customHeight="1">
      <c r="A33" s="8" t="inlineStr">
        <is>
          <t>CP-32</t>
        </is>
      </c>
      <c r="B33" s="8" t="inlineStr">
        <is>
          <t>F9 La sesion aguanta la jornada</t>
        </is>
      </c>
      <c r="C33" s="8" t="inlineStr">
        <is>
          <t>Recepcionista</t>
        </is>
      </c>
      <c r="D33" s="8" t="inlineStr">
        <is>
          <t>Sesion / Autenticacion</t>
        </is>
      </c>
      <c r="E33" s="8" t="inlineStr">
        <is>
          <t>E2E</t>
        </is>
      </c>
      <c r="F33" s="8" t="inlineStr">
        <is>
          <t>Media</t>
        </is>
      </c>
      <c r="G33" s="8" t="inlineStr">
        <is>
          <t>Sesion iniciada, pestana en segundo plano.</t>
        </is>
      </c>
      <c r="H33" s="8" t="inlineStr">
        <is>
          <t>1. Disparar el evento visibilitychange del documento (simula volver a la pestana)</t>
        </is>
      </c>
      <c r="I33" s="8" t="inlineStr">
        <is>
          <t>-</t>
        </is>
      </c>
      <c r="J33" s="8" t="inlineStr">
        <is>
          <t>Se dispara una renovacion (POST /api/auth/refresh) al volver a la pestana, sin esperar los 10 minutos del temporizador.</t>
        </is>
      </c>
      <c r="K33" s="9" t="inlineStr">
        <is>
          <t>OK</t>
        </is>
      </c>
      <c r="L33" s="9" t="inlineStr">
        <is>
          <t>Comportamiento conforme a lo esperado.</t>
        </is>
      </c>
      <c r="M33" s="9" t="inlineStr">
        <is>
          <t>test-finished-1.png, video.webm, trace.zip</t>
        </is>
      </c>
      <c r="N33" s="9" t="inlineStr">
        <is>
          <t>Automatizado con Playwright (2.2 s).</t>
        </is>
      </c>
      <c r="O33" s="9" t="inlineStr">
        <is>
          <t>2026-09-25</t>
        </is>
      </c>
    </row>
    <row r="34" ht="70" customHeight="1">
      <c r="A34" s="8" t="inlineStr">
        <is>
          <t>CP-33</t>
        </is>
      </c>
      <c r="B34" s="8" t="inlineStr">
        <is>
          <t>F10 Bolsillos de ahorro</t>
        </is>
      </c>
      <c r="C34" s="8" t="inlineStr">
        <is>
          <t>Administrador</t>
        </is>
      </c>
      <c r="D34" s="8" t="inlineStr">
        <is>
          <t>Finanzas</t>
        </is>
      </c>
      <c r="E34" s="8" t="inlineStr">
        <is>
          <t>E2E</t>
        </is>
      </c>
      <c r="F34" s="8" t="inlineStr">
        <is>
          <t>Alta</t>
        </is>
      </c>
      <c r="G34" s="8" t="inlineStr">
        <is>
          <t>Sesion de administrador.</t>
        </is>
      </c>
      <c r="H34" s="8" t="inlineStr">
        <is>
          <t>1. Finanzas &gt; Bolsillos &gt; Nuevo bolsillo
2. Nombre y meta
3. Guardar</t>
        </is>
      </c>
      <c r="I34" s="8" t="inlineStr">
        <is>
          <t>Meta 2.000.000</t>
        </is>
      </c>
      <c r="J34" s="8" t="inlineStr">
        <is>
          <t>Se crea con $0 de $2.000.000 ahorrado y 0% de avance.</t>
        </is>
      </c>
      <c r="K34" s="9" t="inlineStr">
        <is>
          <t>OK</t>
        </is>
      </c>
      <c r="L34" s="9" t="inlineStr">
        <is>
          <t>Comportamiento conforme a lo esperado.</t>
        </is>
      </c>
      <c r="M34" s="9" t="inlineStr">
        <is>
          <t>bolsillo-recien-creado, test-finished-1.png, video.webm, trace.zip</t>
        </is>
      </c>
      <c r="N34" s="9" t="inlineStr">
        <is>
          <t>Automatizado con Playwright (9.5 s).</t>
        </is>
      </c>
      <c r="O34" s="9" t="inlineStr">
        <is>
          <t>2026-09-25</t>
        </is>
      </c>
    </row>
    <row r="35" ht="70" customHeight="1">
      <c r="A35" s="8" t="inlineStr">
        <is>
          <t>CP-34</t>
        </is>
      </c>
      <c r="B35" s="8" t="inlineStr">
        <is>
          <t>F10 Bolsillos de ahorro</t>
        </is>
      </c>
      <c r="C35" s="8" t="inlineStr">
        <is>
          <t>Administrador</t>
        </is>
      </c>
      <c r="D35" s="8" t="inlineStr">
        <is>
          <t>Finanzas</t>
        </is>
      </c>
      <c r="E35" s="8" t="inlineStr">
        <is>
          <t>E2E</t>
        </is>
      </c>
      <c r="F35" s="8" t="inlineStr">
        <is>
          <t>Alta</t>
        </is>
      </c>
      <c r="G35" s="8" t="inlineStr">
        <is>
          <t>Bolsillo del CP-33 creado.</t>
        </is>
      </c>
      <c r="H35" s="8" t="inlineStr">
        <is>
          <t>1. Abonar 500.000 con una nota
2. Observar la barra de avance</t>
        </is>
      </c>
      <c r="I35" s="8" t="inlineStr">
        <is>
          <t>500.000 de 2.000.000</t>
        </is>
      </c>
      <c r="J35" s="8" t="inlineStr">
        <is>
          <t>El avance sube a 25% y a $500.000 de $2.000.000. Falta $1.500.000.</t>
        </is>
      </c>
      <c r="K35" s="9" t="inlineStr">
        <is>
          <t>OK</t>
        </is>
      </c>
      <c r="L35" s="9" t="inlineStr">
        <is>
          <t>Comportamiento conforme a lo esperado.</t>
        </is>
      </c>
      <c r="M35" s="9" t="inlineStr">
        <is>
          <t>avance-tras-abonar, test-finished-1.png, video.webm, trace.zip</t>
        </is>
      </c>
      <c r="N35" s="9" t="inlineStr">
        <is>
          <t>Automatizado con Playwright (6.6 s).</t>
        </is>
      </c>
      <c r="O35" s="9" t="inlineStr">
        <is>
          <t>2026-09-25</t>
        </is>
      </c>
    </row>
    <row r="36" ht="70" customHeight="1">
      <c r="A36" s="8" t="inlineStr">
        <is>
          <t>CP-35</t>
        </is>
      </c>
      <c r="B36" s="8" t="inlineStr">
        <is>
          <t>F10 Bolsillos de ahorro</t>
        </is>
      </c>
      <c r="C36" s="8" t="inlineStr">
        <is>
          <t>Administrador</t>
        </is>
      </c>
      <c r="D36" s="8" t="inlineStr">
        <is>
          <t>Finanzas</t>
        </is>
      </c>
      <c r="E36" s="8" t="inlineStr">
        <is>
          <t>E2E</t>
        </is>
      </c>
      <c r="F36" s="8" t="inlineStr">
        <is>
          <t>Media</t>
        </is>
      </c>
      <c r="G36" s="8" t="inlineStr">
        <is>
          <t>Bolsillo con abonos registrados.</t>
        </is>
      </c>
      <c r="H36" s="8" t="inlineStr">
        <is>
          <t>1. Finanzas &gt; Balance mensual
2. Buscar la linea 'Apartado a bolsillos'</t>
        </is>
      </c>
      <c r="I36" s="8" t="inlineStr">
        <is>
          <t>-</t>
        </is>
      </c>
      <c r="J36" s="8" t="inlineStr">
        <is>
          <t>El balance muestra lo apartado en una linea propia, separada de Egresos, y la utilidad la descuenta.</t>
        </is>
      </c>
      <c r="K36" s="9" t="inlineStr">
        <is>
          <t>OK</t>
        </is>
      </c>
      <c r="L36" s="9" t="inlineStr">
        <is>
          <t>Comportamiento conforme a lo esperado.</t>
        </is>
      </c>
      <c r="M36" s="9" t="inlineStr">
        <is>
          <t>balance-con-ahorro, test-finished-1.png, video.webm, trace.zip</t>
        </is>
      </c>
      <c r="N36" s="9" t="inlineStr">
        <is>
          <t>Automatizado con Playwright (5.5 s).</t>
        </is>
      </c>
      <c r="O36" s="9" t="inlineStr">
        <is>
          <t>2026-09-25</t>
        </is>
      </c>
    </row>
    <row r="37" ht="70" customHeight="1">
      <c r="A37" s="8" t="inlineStr">
        <is>
          <t>CP-36</t>
        </is>
      </c>
      <c r="B37" s="8" t="inlineStr">
        <is>
          <t>F10 Bolsillos de ahorro</t>
        </is>
      </c>
      <c r="C37" s="8" t="inlineStr">
        <is>
          <t>Administrador</t>
        </is>
      </c>
      <c r="D37" s="8" t="inlineStr">
        <is>
          <t>Finanzas</t>
        </is>
      </c>
      <c r="E37" s="8" t="inlineStr">
        <is>
          <t>E2E</t>
        </is>
      </c>
      <c r="F37" s="8" t="inlineStr">
        <is>
          <t>Media</t>
        </is>
      </c>
      <c r="G37" s="8" t="inlineStr">
        <is>
          <t>Bolsillo abierto con saldo.</t>
        </is>
      </c>
      <c r="H37" s="8" t="inlineStr">
        <is>
          <t>1. Cerrar el bolsillo
2. Comprobar que ya no ofrece abonar
3. Reabrirlo</t>
        </is>
      </c>
      <c r="I37" s="8" t="inlineStr">
        <is>
          <t>-</t>
        </is>
      </c>
      <c r="J37" s="8" t="inlineStr">
        <is>
          <t>Cerrado conserva su historial y muestra 'Cerrado', pero el boton Abonar desaparece. Al reabrir, Abonar vuelve a estar disponible.</t>
        </is>
      </c>
      <c r="K37" s="9" t="inlineStr">
        <is>
          <t>OK</t>
        </is>
      </c>
      <c r="L37" s="9" t="inlineStr">
        <is>
          <t>Comportamiento conforme a lo esperado.</t>
        </is>
      </c>
      <c r="M37" s="9" t="inlineStr">
        <is>
          <t>test-finished-1.png, video.webm, trace.zip</t>
        </is>
      </c>
      <c r="N37" s="9" t="inlineStr">
        <is>
          <t>Automatizado con Playwright (6.9 s).</t>
        </is>
      </c>
      <c r="O37" s="9" t="inlineStr">
        <is>
          <t>2026-09-25</t>
        </is>
      </c>
    </row>
    <row r="38" ht="70" customHeight="1">
      <c r="A38" s="8" t="inlineStr">
        <is>
          <t>CP-37</t>
        </is>
      </c>
      <c r="B38" s="8" t="inlineStr">
        <is>
          <t>F11 Membresia por vencer</t>
        </is>
      </c>
      <c r="C38" s="8" t="inlineStr">
        <is>
          <t>Recepcionista</t>
        </is>
      </c>
      <c r="D38" s="8" t="inlineStr">
        <is>
          <t>Clientes</t>
        </is>
      </c>
      <c r="E38" s="8" t="inlineStr">
        <is>
          <t>E2E</t>
        </is>
      </c>
      <c r="F38" s="8" t="inlineStr">
        <is>
          <t>Alta</t>
        </is>
      </c>
      <c r="G38" s="8" t="inlineStr">
        <is>
          <t>Cliente cuya membresia vence dentro de 7 dias.</t>
        </is>
      </c>
      <c r="H38" s="8" t="inlineStr">
        <is>
          <t>1. Clientes &gt; Todos los clientes
2. Ubicar al cliente</t>
        </is>
      </c>
      <c r="I38" s="8" t="inlineStr">
        <is>
          <t>Membresia vence en 4 dias</t>
        </is>
      </c>
      <c r="J38" s="8" t="inlineStr">
        <is>
          <t>La fila muestra la etiqueta 'Por vencer' en ambar y el texto 'Vence en N dias'. Un cliente al dia sigue en verde ('Activo'), sin la etiqueta.</t>
        </is>
      </c>
      <c r="K38" s="9" t="inlineStr">
        <is>
          <t>OK</t>
        </is>
      </c>
      <c r="L38" s="9" t="inlineStr">
        <is>
          <t>Comportamiento conforme a lo esperado.</t>
        </is>
      </c>
      <c r="M38" s="9" t="inlineStr">
        <is>
          <t>test-finished-1.png, listado-con-aviso, test-finished-2.png, video.webm, trace.zip</t>
        </is>
      </c>
      <c r="N38" s="9" t="inlineStr">
        <is>
          <t>Automatizado con Playwright (5.3 s).</t>
        </is>
      </c>
      <c r="O38" s="9" t="inlineStr">
        <is>
          <t>2026-09-25</t>
        </is>
      </c>
    </row>
    <row r="39" ht="70" customHeight="1">
      <c r="A39" s="8" t="inlineStr">
        <is>
          <t>CP-38</t>
        </is>
      </c>
      <c r="B39" s="8" t="inlineStr">
        <is>
          <t>F11 Membresia por vencer</t>
        </is>
      </c>
      <c r="C39" s="8" t="inlineStr">
        <is>
          <t>Recepcionista</t>
        </is>
      </c>
      <c r="D39" s="8" t="inlineStr">
        <is>
          <t>Apartado diario</t>
        </is>
      </c>
      <c r="E39" s="8" t="inlineStr">
        <is>
          <t>E2E</t>
        </is>
      </c>
      <c r="F39" s="8" t="inlineStr">
        <is>
          <t>Alta</t>
        </is>
      </c>
      <c r="G39" s="8" t="inlineStr">
        <is>
          <t>Cliente por vencer localizado en el panel de ingreso.</t>
        </is>
      </c>
      <c r="H39" s="8" t="inlineStr">
        <is>
          <t>1. Buscarlo en Registrar ingreso
2. Observar la fila</t>
        </is>
      </c>
      <c r="I39" s="8" t="inlineStr">
        <is>
          <t>-</t>
        </is>
      </c>
      <c r="J39" s="8" t="inlineStr">
        <is>
          <t>La fila se tine de ambar con 'Vence en N dias · ofrecele renovar'. El boton Registrar ingreso sigue disponible: avisa, no bloquea.</t>
        </is>
      </c>
      <c r="K39" s="9" t="inlineStr">
        <is>
          <t>OK</t>
        </is>
      </c>
      <c r="L39" s="9" t="inlineStr">
        <is>
          <t>Comportamiento conforme a lo esperado.</t>
        </is>
      </c>
      <c r="M39" s="9" t="inlineStr">
        <is>
          <t>ingreso-con-aviso, test-finished-1.png, video.webm, trace.zip</t>
        </is>
      </c>
      <c r="N39" s="9" t="inlineStr">
        <is>
          <t>Automatizado con Playwright (6.8 s).</t>
        </is>
      </c>
      <c r="O39" s="9" t="inlineStr">
        <is>
          <t>2026-09-25</t>
        </is>
      </c>
    </row>
    <row r="40" ht="70" customHeight="1">
      <c r="A40" s="8" t="inlineStr">
        <is>
          <t>CP-39</t>
        </is>
      </c>
      <c r="B40" s="8" t="inlineStr">
        <is>
          <t>F11 Membresia por vencer</t>
        </is>
      </c>
      <c r="C40" s="8" t="inlineStr">
        <is>
          <t>Recepcionista</t>
        </is>
      </c>
      <c r="D40" s="8" t="inlineStr">
        <is>
          <t>Apartado diario</t>
        </is>
      </c>
      <c r="E40" s="8" t="inlineStr">
        <is>
          <t>E2E</t>
        </is>
      </c>
      <c r="F40" s="8" t="inlineStr">
        <is>
          <t>Baja</t>
        </is>
      </c>
      <c r="G40" s="8" t="inlineStr">
        <is>
          <t>Cliente con membresia vigente, fuera de la ventana de aviso.</t>
        </is>
      </c>
      <c r="H40" s="8" t="inlineStr">
        <is>
          <t>1. Buscarlo en Registrar ingreso</t>
        </is>
      </c>
      <c r="I40" s="8" t="inlineStr">
        <is>
          <t>-</t>
        </is>
      </c>
      <c r="J40" s="8" t="inlineStr">
        <is>
          <t>No aparece ningun aviso de vencimiento. El boton de ingreso funciona normal.</t>
        </is>
      </c>
      <c r="K40" s="9" t="inlineStr">
        <is>
          <t>OK</t>
        </is>
      </c>
      <c r="L40" s="9" t="inlineStr">
        <is>
          <t>Comportamiento conforme a lo esperado.</t>
        </is>
      </c>
      <c r="M40" s="9" t="inlineStr">
        <is>
          <t>test-finished-1.png, video.webm, trace.zip</t>
        </is>
      </c>
      <c r="N40" s="9" t="inlineStr">
        <is>
          <t>Automatizado con Playwright (5.5 s).</t>
        </is>
      </c>
      <c r="O40" s="9" t="inlineStr">
        <is>
          <t>2026-09-25</t>
        </is>
      </c>
    </row>
    <row r="41" ht="70" customHeight="1">
      <c r="A41" s="8" t="inlineStr">
        <is>
          <t>CP-40</t>
        </is>
      </c>
      <c r="B41" s="8" t="inlineStr">
        <is>
          <t>F12 Foto del cliente</t>
        </is>
      </c>
      <c r="C41" s="8" t="inlineStr">
        <is>
          <t>Recepcionista</t>
        </is>
      </c>
      <c r="D41" s="8" t="inlineStr">
        <is>
          <t>Clientes</t>
        </is>
      </c>
      <c r="E41" s="8" t="inlineStr">
        <is>
          <t>E2E</t>
        </is>
      </c>
      <c r="F41" s="8" t="inlineStr">
        <is>
          <t>Alta</t>
        </is>
      </c>
      <c r="G41" s="8" t="inlineStr">
        <is>
          <t>Sesion iniciada.</t>
        </is>
      </c>
      <c r="H41" s="8" t="inlineStr">
        <is>
          <t>1. Clientes &gt; Agregar cliente
2. Llenar los datos
3. Adjuntar una foto (JPG/PNG)
4. Guardar</t>
        </is>
      </c>
      <c r="I41" s="8" t="inlineStr">
        <is>
          <t>Foto JPG &lt; 2MB</t>
        </is>
      </c>
      <c r="J41" s="8" t="inlineStr">
        <is>
          <t>Se crea en una sola peticion (foto + datos juntos). El cliente aparece en el listado.</t>
        </is>
      </c>
      <c r="K41" s="9" t="inlineStr">
        <is>
          <t>OK</t>
        </is>
      </c>
      <c r="L41" s="9" t="inlineStr">
        <is>
          <t>Comportamiento conforme a lo esperado.</t>
        </is>
      </c>
      <c r="M41" s="9" t="inlineStr">
        <is>
          <t>test-finished-1.png, cliente-con-foto, test-finished-2.png, video.webm, trace.zip</t>
        </is>
      </c>
      <c r="N41" s="9" t="inlineStr">
        <is>
          <t>Automatizado con Playwright (7.3 s).</t>
        </is>
      </c>
      <c r="O41" s="9" t="inlineStr">
        <is>
          <t>2026-09-25</t>
        </is>
      </c>
    </row>
    <row r="42" ht="70" customHeight="1">
      <c r="A42" s="8" t="inlineStr">
        <is>
          <t>CP-41</t>
        </is>
      </c>
      <c r="B42" s="8" t="inlineStr">
        <is>
          <t>F12 Foto del cliente</t>
        </is>
      </c>
      <c r="C42" s="8" t="inlineStr">
        <is>
          <t>Recepcionista</t>
        </is>
      </c>
      <c r="D42" s="8" t="inlineStr">
        <is>
          <t>Clientes</t>
        </is>
      </c>
      <c r="E42" s="8" t="inlineStr">
        <is>
          <t>E2E</t>
        </is>
      </c>
      <c r="F42" s="8" t="inlineStr">
        <is>
          <t>Media</t>
        </is>
      </c>
      <c r="G42" s="8" t="inlineStr">
        <is>
          <t>Cliente con foto del CP-40.</t>
        </is>
      </c>
      <c r="H42" s="8" t="inlineStr">
        <is>
          <t>1. Ir a Todos los clientes
2. Pulsar el avatar del cliente
3. Observar el panel que se abre</t>
        </is>
      </c>
      <c r="I42" s="8" t="inlineStr">
        <is>
          <t>-</t>
        </is>
      </c>
      <c r="J42" s="8" t="inlineStr">
        <is>
          <t>El avatar es un boton 'Ver la foto de...'. Al pulsarlo, la imagen se sirve con 200 y content-type image/*, y se abre en un panel sobre la pagina.</t>
        </is>
      </c>
      <c r="K42" s="9" t="inlineStr">
        <is>
          <t>OK</t>
        </is>
      </c>
      <c r="L42" s="9" t="inlineStr">
        <is>
          <t>Comportamiento conforme a lo esperado.</t>
        </is>
      </c>
      <c r="M42" s="9" t="inlineStr">
        <is>
          <t>foto-en-grande, test-finished-1.png, video.webm, trace.zip</t>
        </is>
      </c>
      <c r="N42" s="9" t="inlineStr">
        <is>
          <t>Automatizado con Playwright (5.3 s).</t>
        </is>
      </c>
      <c r="O42" s="9" t="inlineStr">
        <is>
          <t>2026-09-25</t>
        </is>
      </c>
    </row>
    <row r="43" ht="70" customHeight="1">
      <c r="A43" s="8" t="inlineStr">
        <is>
          <t>CP-42</t>
        </is>
      </c>
      <c r="B43" s="8" t="inlineStr">
        <is>
          <t>F12 Foto del cliente</t>
        </is>
      </c>
      <c r="C43" s="8" t="inlineStr">
        <is>
          <t>Recepcionista</t>
        </is>
      </c>
      <c r="D43" s="8" t="inlineStr">
        <is>
          <t>Clientes</t>
        </is>
      </c>
      <c r="E43" s="8" t="inlineStr">
        <is>
          <t>E2E</t>
        </is>
      </c>
      <c r="F43" s="8" t="inlineStr">
        <is>
          <t>Media</t>
        </is>
      </c>
      <c r="G43" s="8" t="inlineStr">
        <is>
          <t>Cliente creado sin foto.</t>
        </is>
      </c>
      <c r="H43" s="8" t="inlineStr">
        <is>
          <t>1. Ir a Todos los clientes
2. Ubicar al cliente sin foto</t>
        </is>
      </c>
      <c r="I43" s="8" t="inlineStr">
        <is>
          <t>-</t>
        </is>
      </c>
      <c r="J43" s="8" t="inlineStr">
        <is>
          <t>Se muestran las iniciales del nombre, no un hueco vacio. No hay boton de 'ver foto' (nada que ampliar).</t>
        </is>
      </c>
      <c r="K43" s="9" t="inlineStr">
        <is>
          <t>OK</t>
        </is>
      </c>
      <c r="L43" s="9" t="inlineStr">
        <is>
          <t>Comportamiento conforme a lo esperado.</t>
        </is>
      </c>
      <c r="M43" s="9" t="inlineStr">
        <is>
          <t>test-finished-1.png, video.webm, trace.zip</t>
        </is>
      </c>
      <c r="N43" s="9" t="inlineStr">
        <is>
          <t>Automatizado con Playwright (7.6 s).</t>
        </is>
      </c>
      <c r="O43" s="9" t="inlineStr">
        <is>
          <t>2026-09-25</t>
        </is>
      </c>
    </row>
    <row r="44" ht="70" customHeight="1">
      <c r="A44" s="8" t="inlineStr">
        <is>
          <t>CP-43</t>
        </is>
      </c>
      <c r="B44" s="8" t="inlineStr">
        <is>
          <t>F12 Foto del cliente</t>
        </is>
      </c>
      <c r="C44" s="8" t="inlineStr">
        <is>
          <t>Recepcionista</t>
        </is>
      </c>
      <c r="D44" s="8" t="inlineStr">
        <is>
          <t>Apartado diario</t>
        </is>
      </c>
      <c r="E44" s="8" t="inlineStr">
        <is>
          <t>E2E</t>
        </is>
      </c>
      <c r="F44" s="8" t="inlineStr">
        <is>
          <t>Alta</t>
        </is>
      </c>
      <c r="G44" s="8" t="inlineStr">
        <is>
          <t>Cliente con foto.</t>
        </is>
      </c>
      <c r="H44" s="8" t="inlineStr">
        <is>
          <t>1. Buscarlo en Registrar ingreso
2. Pulsar su avatar
3. Cerrar el visor
4. Registrar el ingreso</t>
        </is>
      </c>
      <c r="I44" s="8" t="inlineStr">
        <is>
          <t>-</t>
        </is>
      </c>
      <c r="J44" s="8" t="inlineStr">
        <is>
          <t>La foto aparece en la fila del panel de ingreso. El visor abre y cierra sin afectar el registro de ingreso, que sigue funcionando.</t>
        </is>
      </c>
      <c r="K44" s="9" t="inlineStr">
        <is>
          <t>OK</t>
        </is>
      </c>
      <c r="L44" s="9" t="inlineStr">
        <is>
          <t>Comportamiento conforme a lo esperado.</t>
        </is>
      </c>
      <c r="M44" s="9" t="inlineStr">
        <is>
          <t>ingreso-con-foto, test-finished-1.png, video.webm, trace.zip</t>
        </is>
      </c>
      <c r="N44" s="9" t="inlineStr">
        <is>
          <t>Automatizado con Playwright (6.7 s).</t>
        </is>
      </c>
      <c r="O44" s="9" t="inlineStr">
        <is>
          <t>2026-09-25</t>
        </is>
      </c>
    </row>
    <row r="45" ht="70" customHeight="1">
      <c r="A45" s="8" t="inlineStr">
        <is>
          <t>CP-44</t>
        </is>
      </c>
      <c r="B45" s="8" t="inlineStr">
        <is>
          <t>F12 Foto del cliente</t>
        </is>
      </c>
      <c r="C45" s="8" t="inlineStr">
        <is>
          <t>N/A (API)</t>
        </is>
      </c>
      <c r="D45" s="8" t="inlineStr">
        <is>
          <t>Clientes</t>
        </is>
      </c>
      <c r="E45" s="8" t="inlineStr">
        <is>
          <t>Seguridad</t>
        </is>
      </c>
      <c r="F45" s="8" t="inlineStr">
        <is>
          <t>Alta</t>
        </is>
      </c>
      <c r="G45" s="8" t="inlineStr">
        <is>
          <t>Cliente con foto, sin sesion iniciada.</t>
        </is>
      </c>
      <c r="H45" s="8" t="inlineStr">
        <is>
          <t>1. GET /api/backend/clients/:id/photo sin cookie de sesion</t>
        </is>
      </c>
      <c r="I45" s="8" t="inlineStr">
        <is>
          <t>-</t>
        </is>
      </c>
      <c r="J45" s="8" t="inlineStr">
        <is>
          <t>Responde 401. La foto de un cliente -a veces un menor- no se sirve sin autenticacion.</t>
        </is>
      </c>
      <c r="K45" s="9" t="inlineStr">
        <is>
          <t>OK</t>
        </is>
      </c>
      <c r="L45" s="9" t="inlineStr">
        <is>
          <t>Comportamiento conforme a lo esperado.</t>
        </is>
      </c>
      <c r="M45" s="9" t="inlineStr">
        <is>
          <t>test-finished-1.png, video.webm, trace.zip</t>
        </is>
      </c>
      <c r="N45" s="9" t="inlineStr">
        <is>
          <t>Automatizado con Playwright (5.0 s).</t>
        </is>
      </c>
      <c r="O45" s="9" t="inlineStr">
        <is>
          <t>2026-09-25</t>
        </is>
      </c>
    </row>
    <row r="46" ht="70" customHeight="1">
      <c r="A46" s="8" t="inlineStr">
        <is>
          <t>CP-45</t>
        </is>
      </c>
      <c r="B46" s="8" t="inlineStr">
        <is>
          <t>F13 Quien hizo que</t>
        </is>
      </c>
      <c r="C46" s="8" t="inlineStr">
        <is>
          <t>Recepcionista</t>
        </is>
      </c>
      <c r="D46" s="8" t="inlineStr">
        <is>
          <t>Pagos</t>
        </is>
      </c>
      <c r="E46" s="8" t="inlineStr">
        <is>
          <t>E2E</t>
        </is>
      </c>
      <c r="F46" s="8" t="inlineStr">
        <is>
          <t>Alta</t>
        </is>
      </c>
      <c r="G46" s="8" t="inlineStr">
        <is>
          <t>Sesion iniciada, cliente con saldo.</t>
        </is>
      </c>
      <c r="H46" s="8" t="inlineStr">
        <is>
          <t>1. Registrar un cobro
2. Ir a Todos los pagos
3. Ubicar la fila</t>
        </is>
      </c>
      <c r="I46" s="8" t="inlineStr">
        <is>
          <t>-</t>
        </is>
      </c>
      <c r="J46" s="8" t="inlineStr">
        <is>
          <t>La columna 'Registro' muestra el nombre de quien inicio sesion e hizo el cobro.</t>
        </is>
      </c>
      <c r="K46" s="9" t="inlineStr">
        <is>
          <t>OK</t>
        </is>
      </c>
      <c r="L46" s="9" t="inlineStr">
        <is>
          <t>Comportamiento conforme a lo esperado.</t>
        </is>
      </c>
      <c r="M46" s="9" t="inlineStr">
        <is>
          <t>test-finished-1.png, pagos-con-autor, test-finished-2.png, video.webm, trace.zip</t>
        </is>
      </c>
      <c r="N46" s="9" t="inlineStr">
        <is>
          <t>Automatizado con Playwright (7.6 s).</t>
        </is>
      </c>
      <c r="O46" s="9" t="inlineStr">
        <is>
          <t>2026-09-25</t>
        </is>
      </c>
    </row>
    <row r="47" ht="70" customHeight="1">
      <c r="A47" s="8" t="inlineStr">
        <is>
          <t>CP-46</t>
        </is>
      </c>
      <c r="B47" s="8" t="inlineStr">
        <is>
          <t>F13 Quien hizo que</t>
        </is>
      </c>
      <c r="C47" s="8" t="inlineStr">
        <is>
          <t>Recepcionista</t>
        </is>
      </c>
      <c r="D47" s="8" t="inlineStr">
        <is>
          <t>Apartado diario</t>
        </is>
      </c>
      <c r="E47" s="8" t="inlineStr">
        <is>
          <t>E2E</t>
        </is>
      </c>
      <c r="F47" s="8" t="inlineStr">
        <is>
          <t>Alta</t>
        </is>
      </c>
      <c r="G47" s="8" t="inlineStr">
        <is>
          <t>Sesion iniciada.</t>
        </is>
      </c>
      <c r="H47" s="8" t="inlineStr">
        <is>
          <t>1. Registrar un ingreso
2. Observar la bitacora del dia</t>
        </is>
      </c>
      <c r="I47" s="8" t="inlineStr">
        <is>
          <t>-</t>
        </is>
      </c>
      <c r="J47" s="8" t="inlineStr">
        <is>
          <t>La fila del ingreso dice 'Plan · registro &lt;Nombre&gt;' junto al plan del cliente.</t>
        </is>
      </c>
      <c r="K47" s="9" t="inlineStr">
        <is>
          <t>OK</t>
        </is>
      </c>
      <c r="L47" s="9" t="inlineStr">
        <is>
          <t>Comportamiento conforme a lo esperado.</t>
        </is>
      </c>
      <c r="M47" s="9" t="inlineStr">
        <is>
          <t>ingresos-con-autor, test-finished-1.png, video.webm, trace.zip</t>
        </is>
      </c>
      <c r="N47" s="9" t="inlineStr">
        <is>
          <t>Automatizado con Playwright (6.7 s).</t>
        </is>
      </c>
      <c r="O47" s="9" t="inlineStr">
        <is>
          <t>2026-09-25</t>
        </is>
      </c>
    </row>
    <row r="48" ht="70" customHeight="1">
      <c r="A48" s="8" t="inlineStr">
        <is>
          <t>CP-47</t>
        </is>
      </c>
      <c r="B48" s="8" t="inlineStr">
        <is>
          <t>F13 Quien hizo que</t>
        </is>
      </c>
      <c r="C48" s="8" t="inlineStr">
        <is>
          <t>Recepcionista</t>
        </is>
      </c>
      <c r="D48" s="8" t="inlineStr">
        <is>
          <t>Apartado diario</t>
        </is>
      </c>
      <c r="E48" s="8" t="inlineStr">
        <is>
          <t>E2E</t>
        </is>
      </c>
      <c r="F48" s="8" t="inlineStr">
        <is>
          <t>Media</t>
        </is>
      </c>
      <c r="G48" s="8" t="inlineStr">
        <is>
          <t>Hubo pagos y ventas hoy.</t>
        </is>
      </c>
      <c r="H48" s="8" t="inlineStr">
        <is>
          <t>1. Apartado diario &gt; Hoy
2. Desplegar el desglose del ingreso del dia</t>
        </is>
      </c>
      <c r="I48" s="8" t="inlineStr">
        <is>
          <t>-</t>
        </is>
      </c>
      <c r="J48" s="8" t="inlineStr">
        <is>
          <t>Cada linea del desglose (pago o venta) incluye el nombre de quien lo registro, junto al cliente y el concepto.</t>
        </is>
      </c>
      <c r="K48" s="9" t="inlineStr">
        <is>
          <t>OK</t>
        </is>
      </c>
      <c r="L48" s="9" t="inlineStr">
        <is>
          <t>Comportamiento conforme a lo esperado.</t>
        </is>
      </c>
      <c r="M48" s="9" t="inlineStr">
        <is>
          <t>desglose-con-autor, test-finished-1.png, video.webm, trace.zip</t>
        </is>
      </c>
      <c r="N48" s="9" t="inlineStr">
        <is>
          <t>Automatizado con Playwright (5.9 s).</t>
        </is>
      </c>
      <c r="O48" s="9" t="inlineStr">
        <is>
          <t>2026-09-25</t>
        </is>
      </c>
    </row>
    <row r="49" ht="70" customHeight="1">
      <c r="A49" s="8" t="inlineStr">
        <is>
          <t>CP-48</t>
        </is>
      </c>
      <c r="B49" s="8" t="inlineStr">
        <is>
          <t>F13 Quien hizo que</t>
        </is>
      </c>
      <c r="C49" s="8" t="inlineStr">
        <is>
          <t>N/A (API)</t>
        </is>
      </c>
      <c r="D49" s="8" t="inlineStr">
        <is>
          <t>Clientes</t>
        </is>
      </c>
      <c r="E49" s="8" t="inlineStr">
        <is>
          <t>Seguridad</t>
        </is>
      </c>
      <c r="F49" s="8" t="inlineStr">
        <is>
          <t>Alta</t>
        </is>
      </c>
      <c r="G49" s="8" t="inlineStr">
        <is>
          <t>Cliente creado por el usuario de la sesion.</t>
        </is>
      </c>
      <c r="H49" s="8" t="inlineStr">
        <is>
          <t>1. GET /api/backend/clients y ubicar el cliente propio (registeredBy)
2. PATCH el mismo cliente mandando registeredBy: 'Otra persona'</t>
        </is>
      </c>
      <c r="I49" s="8" t="inlineStr">
        <is>
          <t>-</t>
        </is>
      </c>
      <c r="J49" s="8" t="inlineStr">
        <is>
          <t>El GET muestra el autor real. El PATCH con un campo registeredBy manual se rechaza con 400 (el DTO no lo declara): el autor solo puede salir del token, nunca del cliente.</t>
        </is>
      </c>
      <c r="K49" s="9" t="inlineStr">
        <is>
          <t>OK</t>
        </is>
      </c>
      <c r="L49" s="9" t="inlineStr">
        <is>
          <t>Comportamiento conforme a lo esperado.</t>
        </is>
      </c>
      <c r="M49" s="9" t="inlineStr">
        <is>
          <t>test-finished-1.png, video.webm, trace.zip</t>
        </is>
      </c>
      <c r="N49" s="9" t="inlineStr">
        <is>
          <t>Automatizado con Playwright (3.6 s).</t>
        </is>
      </c>
      <c r="O49" s="9" t="inlineStr">
        <is>
          <t>2026-09-25</t>
        </is>
      </c>
    </row>
    <row r="50" ht="70" customHeight="1">
      <c r="A50" s="8" t="inlineStr">
        <is>
          <t>CP-49</t>
        </is>
      </c>
      <c r="B50" s="8" t="inlineStr">
        <is>
          <t>F14 Usuarios y sesion</t>
        </is>
      </c>
      <c r="C50" s="8" t="inlineStr">
        <is>
          <t>N/A (login)</t>
        </is>
      </c>
      <c r="D50" s="8" t="inlineStr">
        <is>
          <t>Autenticacion</t>
        </is>
      </c>
      <c r="E50" s="8" t="inlineStr">
        <is>
          <t>Seguridad</t>
        </is>
      </c>
      <c r="F50" s="8" t="inlineStr">
        <is>
          <t>Alta</t>
        </is>
      </c>
      <c r="G50" s="8" t="inlineStr">
        <is>
          <t>Sin sesion iniciada. Usuario real, clave incorrecta.</t>
        </is>
      </c>
      <c r="H50" s="8" t="inlineStr">
        <is>
          <t>1. Ir a /login
2. Usuario correcto, contrasena incorrecta
3. Ingresar</t>
        </is>
      </c>
      <c r="I50" s="8" t="inlineStr">
        <is>
          <t>Usuario real + clave erronea</t>
        </is>
      </c>
      <c r="J50" s="8" t="inlineStr">
        <is>
          <t>Rechaza con un mensaje generico ('Credenciales invalidas'), sin decir si fallo el usuario o la clave. No navega fuera de /login.</t>
        </is>
      </c>
      <c r="K50" s="9" t="inlineStr">
        <is>
          <t>OK</t>
        </is>
      </c>
      <c r="L50" s="9" t="inlineStr">
        <is>
          <t>Comportamiento conforme a lo esperado.</t>
        </is>
      </c>
      <c r="M50" s="9" t="inlineStr">
        <is>
          <t>login-rechazado, test-finished-1.png, video.webm, trace.zip</t>
        </is>
      </c>
      <c r="N50" s="9" t="inlineStr">
        <is>
          <t>Automatizado con Playwright (4.4 s).</t>
        </is>
      </c>
      <c r="O50" s="9" t="inlineStr">
        <is>
          <t>2026-09-25</t>
        </is>
      </c>
    </row>
    <row r="51" ht="70" customHeight="1">
      <c r="A51" s="8" t="inlineStr">
        <is>
          <t>CP-50</t>
        </is>
      </c>
      <c r="B51" s="8" t="inlineStr">
        <is>
          <t>F14 Usuarios y sesion</t>
        </is>
      </c>
      <c r="C51" s="8" t="inlineStr">
        <is>
          <t>N/A (login)</t>
        </is>
      </c>
      <c r="D51" s="8" t="inlineStr">
        <is>
          <t>Autenticacion</t>
        </is>
      </c>
      <c r="E51" s="8" t="inlineStr">
        <is>
          <t>Seguridad</t>
        </is>
      </c>
      <c r="F51" s="8" t="inlineStr">
        <is>
          <t>Alta</t>
        </is>
      </c>
      <c r="G51" s="8" t="inlineStr">
        <is>
          <t>Sin sesion iniciada.</t>
        </is>
      </c>
      <c r="H51" s="8" t="inlineStr">
        <is>
          <t>1. Ir a /login
2. Usuario inexistente + cualquier clave
3. Ingresar</t>
        </is>
      </c>
      <c r="I51" s="8" t="inlineStr">
        <is>
          <t>Usuario inventado</t>
        </is>
      </c>
      <c r="J51" s="8" t="inlineStr">
        <is>
          <t>El mismo mensaje generico que con clave incorrecta: no revela si el usuario existe.</t>
        </is>
      </c>
      <c r="K51" s="9" t="inlineStr">
        <is>
          <t>OK</t>
        </is>
      </c>
      <c r="L51" s="9" t="inlineStr">
        <is>
          <t>Comportamiento conforme a lo esperado.</t>
        </is>
      </c>
      <c r="M51" s="9" t="inlineStr">
        <is>
          <t>test-finished-1.png, video.webm, trace.zip</t>
        </is>
      </c>
      <c r="N51" s="9" t="inlineStr">
        <is>
          <t>Automatizado con Playwright (2.8 s).</t>
        </is>
      </c>
      <c r="O51" s="9" t="inlineStr">
        <is>
          <t>2026-09-25</t>
        </is>
      </c>
    </row>
    <row r="52" ht="70" customHeight="1">
      <c r="A52" s="8" t="inlineStr">
        <is>
          <t>CP-51</t>
        </is>
      </c>
      <c r="B52" s="8" t="inlineStr">
        <is>
          <t>F14 Usuarios y sesion</t>
        </is>
      </c>
      <c r="C52" s="8" t="inlineStr">
        <is>
          <t>N/A (login)</t>
        </is>
      </c>
      <c r="D52" s="8" t="inlineStr">
        <is>
          <t>Autenticacion</t>
        </is>
      </c>
      <c r="E52" s="8" t="inlineStr">
        <is>
          <t>E2E</t>
        </is>
      </c>
      <c r="F52" s="8" t="inlineStr">
        <is>
          <t>Media</t>
        </is>
      </c>
      <c r="G52" s="8" t="inlineStr">
        <is>
          <t>Sin sesion iniciada.</t>
        </is>
      </c>
      <c r="H52" s="8" t="inlineStr">
        <is>
          <t>1. Ir a /login
2. Pulsar Ingresar sin llenar nada</t>
        </is>
      </c>
      <c r="I52" s="8" t="inlineStr">
        <is>
          <t>-</t>
        </is>
      </c>
      <c r="J52" s="8" t="inlineStr">
        <is>
          <t>Muestra 'Ingresa tu usuario' sin llamar a la API (0 peticiones a /api/auth/login).</t>
        </is>
      </c>
      <c r="K52" s="9" t="inlineStr">
        <is>
          <t>OK</t>
        </is>
      </c>
      <c r="L52" s="9" t="inlineStr">
        <is>
          <t>Comportamiento conforme a lo esperado.</t>
        </is>
      </c>
      <c r="M52" s="9" t="inlineStr">
        <is>
          <t>test-finished-1.png, video.webm, trace.zip</t>
        </is>
      </c>
      <c r="N52" s="9" t="inlineStr">
        <is>
          <t>Automatizado con Playwright (2.6 s).</t>
        </is>
      </c>
      <c r="O52" s="9" t="inlineStr">
        <is>
          <t>2026-09-25</t>
        </is>
      </c>
    </row>
    <row r="53" ht="70" customHeight="1">
      <c r="A53" s="8" t="inlineStr">
        <is>
          <t>CP-52</t>
        </is>
      </c>
      <c r="B53" s="8" t="inlineStr">
        <is>
          <t>F14 Usuarios y sesion</t>
        </is>
      </c>
      <c r="C53" s="8" t="inlineStr">
        <is>
          <t>N/A (login)</t>
        </is>
      </c>
      <c r="D53" s="8" t="inlineStr">
        <is>
          <t>Autenticacion</t>
        </is>
      </c>
      <c r="E53" s="8" t="inlineStr">
        <is>
          <t>Seguridad</t>
        </is>
      </c>
      <c r="F53" s="8" t="inlineStr">
        <is>
          <t>Alta</t>
        </is>
      </c>
      <c r="G53" s="8" t="inlineStr">
        <is>
          <t>Sin sesion iniciada. Usuario ficticio (no el real).</t>
        </is>
      </c>
      <c r="H53" s="8" t="inlineStr">
        <is>
          <t>1. Fallar el login 5 veces seguidas con el mismo usuario
2. Intentar una sexta vez</t>
        </is>
      </c>
      <c r="I53" s="8" t="inlineStr">
        <is>
          <t>5 intentos fallidos</t>
        </is>
      </c>
      <c r="J53" s="8" t="inlineStr">
        <is>
          <t>El sexto intento se rechaza con 'Demasiados intentos...', distinto del mensaje de credenciales, sin importar si la clave es correcta.</t>
        </is>
      </c>
      <c r="K53" s="9" t="inlineStr">
        <is>
          <t>OK</t>
        </is>
      </c>
      <c r="L53" s="9" t="inlineStr">
        <is>
          <t>Comportamiento conforme a lo esperado.</t>
        </is>
      </c>
      <c r="M53" s="9" t="inlineStr">
        <is>
          <t>bloqueo-por-intentos, test-finished-1.png, video.webm, trace.zip</t>
        </is>
      </c>
      <c r="N53" s="9" t="inlineStr">
        <is>
          <t>Automatizado con Playwright (5.7 s).</t>
        </is>
      </c>
      <c r="O53" s="9" t="inlineStr">
        <is>
          <t>2026-09-25</t>
        </is>
      </c>
    </row>
    <row r="54" ht="70" customHeight="1">
      <c r="A54" s="8" t="inlineStr">
        <is>
          <t>CP-53</t>
        </is>
      </c>
      <c r="B54" s="8" t="inlineStr">
        <is>
          <t>F14 Usuarios y sesion</t>
        </is>
      </c>
      <c r="C54" s="8" t="inlineStr">
        <is>
          <t>Recepcionista</t>
        </is>
      </c>
      <c r="D54" s="8" t="inlineStr">
        <is>
          <t>Autenticacion</t>
        </is>
      </c>
      <c r="E54" s="8" t="inlineStr">
        <is>
          <t>E2E</t>
        </is>
      </c>
      <c r="F54" s="8" t="inlineStr">
        <is>
          <t>Baja</t>
        </is>
      </c>
      <c r="G54" s="8" t="inlineStr">
        <is>
          <t>Sesion ya iniciada.</t>
        </is>
      </c>
      <c r="H54" s="8" t="inlineStr">
        <is>
          <t>1. Con sesion abierta, navegar a /login</t>
        </is>
      </c>
      <c r="I54" s="8" t="inlineStr">
        <is>
          <t>-</t>
        </is>
      </c>
      <c r="J54" s="8" t="inlineStr">
        <is>
          <t>Redirige de inmediato a /modules; no vuelve a mostrar el formulario.</t>
        </is>
      </c>
      <c r="K54" s="9" t="inlineStr">
        <is>
          <t>OK</t>
        </is>
      </c>
      <c r="L54" s="9" t="inlineStr">
        <is>
          <t>Comportamiento conforme a lo esperado.</t>
        </is>
      </c>
      <c r="M54" s="9" t="inlineStr">
        <is>
          <t>test-finished-1.png, video.webm, trace.zip</t>
        </is>
      </c>
      <c r="N54" s="9" t="inlineStr">
        <is>
          <t>Automatizado con Playwright (2.2 s).</t>
        </is>
      </c>
      <c r="O54" s="9" t="inlineStr">
        <is>
          <t>2026-09-25</t>
        </is>
      </c>
    </row>
    <row r="55" ht="70" customHeight="1">
      <c r="A55" s="8" t="inlineStr">
        <is>
          <t>CP-54</t>
        </is>
      </c>
      <c r="B55" s="8" t="inlineStr">
        <is>
          <t>F14 Usuarios y sesion</t>
        </is>
      </c>
      <c r="C55" s="8" t="inlineStr">
        <is>
          <t>Recepcionista</t>
        </is>
      </c>
      <c r="D55" s="8" t="inlineStr">
        <is>
          <t>Autenticacion</t>
        </is>
      </c>
      <c r="E55" s="8" t="inlineStr">
        <is>
          <t>E2E</t>
        </is>
      </c>
      <c r="F55" s="8" t="inlineStr">
        <is>
          <t>Alta</t>
        </is>
      </c>
      <c r="G55" s="8" t="inlineStr">
        <is>
          <t>Sesion iniciada.</t>
        </is>
      </c>
      <c r="H55" s="8" t="inlineStr">
        <is>
          <t>1. Pulsar Cerrar sesion
2. Comprobar la cookie de sesion
3. Llamar a la API sin volver a entrar</t>
        </is>
      </c>
      <c r="I55" s="8" t="inlineStr">
        <is>
          <t>-</t>
        </is>
      </c>
      <c r="J55" s="8" t="inlineStr">
        <is>
          <t>La cookie de sesion desaparece, redirige a /login, y la API responde 401 a partir de ese momento.</t>
        </is>
      </c>
      <c r="K55" s="9" t="inlineStr">
        <is>
          <t>OK</t>
        </is>
      </c>
      <c r="L55" s="9" t="inlineStr">
        <is>
          <t>Comportamiento conforme a lo esperado.</t>
        </is>
      </c>
      <c r="M55" s="9" t="inlineStr">
        <is>
          <t>test-finished-1.png, video.webm, trace.zip</t>
        </is>
      </c>
      <c r="N55" s="9" t="inlineStr">
        <is>
          <t>Automatizado con Playwright (4.0 s).</t>
        </is>
      </c>
      <c r="O55" s="9" t="inlineStr">
        <is>
          <t>2026-09-25</t>
        </is>
      </c>
    </row>
    <row r="56" ht="70" customHeight="1">
      <c r="A56" s="8" t="inlineStr">
        <is>
          <t>CP-55</t>
        </is>
      </c>
      <c r="B56" s="8" t="inlineStr">
        <is>
          <t>F14 Usuarios y sesion</t>
        </is>
      </c>
      <c r="C56" s="8" t="inlineStr">
        <is>
          <t>N/A (API)</t>
        </is>
      </c>
      <c r="D56" s="8" t="inlineStr">
        <is>
          <t>Autenticacion</t>
        </is>
      </c>
      <c r="E56" s="8" t="inlineStr">
        <is>
          <t>Seguridad</t>
        </is>
      </c>
      <c r="F56" s="8" t="inlineStr">
        <is>
          <t>Alta</t>
        </is>
      </c>
      <c r="G56" s="8" t="inlineStr">
        <is>
          <t>Sesion iniciada.</t>
        </is>
      </c>
      <c r="H56" s="8" t="inlineStr">
        <is>
          <t>1. Alterar un caracter de la cookie de sesion (rompe la firma)
2. Llamar a la API con esa cookie</t>
        </is>
      </c>
      <c r="I56" s="8" t="inlineStr">
        <is>
          <t>-</t>
        </is>
      </c>
      <c r="J56" s="8" t="inlineStr">
        <is>
          <t>Responde 401: la firma del token se valida, no solo su formato.</t>
        </is>
      </c>
      <c r="K56" s="9" t="inlineStr">
        <is>
          <t>OK</t>
        </is>
      </c>
      <c r="L56" s="9" t="inlineStr">
        <is>
          <t>Comportamiento conforme a lo esperado.</t>
        </is>
      </c>
      <c r="M56" s="9" t="inlineStr">
        <is>
          <t>test-finished-1.png, video.webm, trace.zip</t>
        </is>
      </c>
      <c r="N56" s="9" t="inlineStr">
        <is>
          <t>Automatizado con Playwright (2.4 s).</t>
        </is>
      </c>
      <c r="O56" s="9" t="inlineStr">
        <is>
          <t>2026-09-25</t>
        </is>
      </c>
    </row>
    <row r="57" ht="70" customHeight="1">
      <c r="A57" s="8" t="inlineStr">
        <is>
          <t>CP-56</t>
        </is>
      </c>
      <c r="B57" s="8" t="inlineStr">
        <is>
          <t>F14 Usuarios y sesion</t>
        </is>
      </c>
      <c r="C57" s="8" t="inlineStr">
        <is>
          <t>N/A (API)</t>
        </is>
      </c>
      <c r="D57" s="8" t="inlineStr">
        <is>
          <t>Todos los modulos</t>
        </is>
      </c>
      <c r="E57" s="8" t="inlineStr">
        <is>
          <t>Seguridad</t>
        </is>
      </c>
      <c r="F57" s="8" t="inlineStr">
        <is>
          <t>Alta</t>
        </is>
      </c>
      <c r="G57" s="8" t="inlineStr">
        <is>
          <t>Sin cookie de sesion.</t>
        </is>
      </c>
      <c r="H57" s="8" t="inlineStr">
        <is>
          <t>1. Llamar sin token a clients, payments, membership-types, expenses, inventory-items, trainers, savings-pockets y attendances</t>
        </is>
      </c>
      <c r="I57" s="8" t="inlineStr">
        <is>
          <t>-</t>
        </is>
      </c>
      <c r="J57" s="8" t="inlineStr">
        <is>
          <t>Los ocho endpoints responden 401, sin excepcion.</t>
        </is>
      </c>
      <c r="K57" s="9" t="inlineStr">
        <is>
          <t>OK</t>
        </is>
      </c>
      <c r="L57" s="9" t="inlineStr">
        <is>
          <t>Comportamiento conforme a lo esperado.</t>
        </is>
      </c>
      <c r="M57" s="9" t="inlineStr">
        <is>
          <t>test-finished-1.png, video.webm, trace.zip</t>
        </is>
      </c>
      <c r="N57" s="9" t="inlineStr">
        <is>
          <t>Automatizado con Playwright (3.2 s).</t>
        </is>
      </c>
      <c r="O57" s="9" t="inlineStr">
        <is>
          <t>2026-09-25</t>
        </is>
      </c>
    </row>
    <row r="58" ht="70" customHeight="1">
      <c r="A58" s="8" t="inlineStr">
        <is>
          <t>CP-57</t>
        </is>
      </c>
      <c r="B58" s="8" t="inlineStr">
        <is>
          <t>F14 Usuarios y sesion</t>
        </is>
      </c>
      <c r="C58" s="8" t="inlineStr">
        <is>
          <t>Administrador</t>
        </is>
      </c>
      <c r="D58" s="8" t="inlineStr">
        <is>
          <t>Todos los modulos</t>
        </is>
      </c>
      <c r="E58" s="8" t="inlineStr">
        <is>
          <t>Regresion</t>
        </is>
      </c>
      <c r="F58" s="8" t="inlineStr">
        <is>
          <t>Alta</t>
        </is>
      </c>
      <c r="G58" s="8" t="inlineStr">
        <is>
          <t>Sesion de administrador.</t>
        </is>
      </c>
      <c r="H58" s="8" t="inlineStr">
        <is>
          <t>1. Visitar Clientes, Membresias, Pagos, Entrenadores, Egresos, Inventario, Finanzas e Ingresos, una tras otra</t>
        </is>
      </c>
      <c r="I58" s="8" t="inlineStr">
        <is>
          <t>-</t>
        </is>
      </c>
      <c r="J58" s="8" t="inlineStr">
        <is>
          <t>Ningun modulo rebota al login ni queda en blanco; cada uno pinta su propio contenido.</t>
        </is>
      </c>
      <c r="K58" s="9" t="inlineStr">
        <is>
          <t>OK</t>
        </is>
      </c>
      <c r="L58" s="9" t="inlineStr">
        <is>
          <t>Comportamiento conforme a lo esperado.</t>
        </is>
      </c>
      <c r="M58" s="9" t="inlineStr">
        <is>
          <t>test-finished-1.png, video.webm, trace.zip</t>
        </is>
      </c>
      <c r="N58" s="9" t="inlineStr">
        <is>
          <t>Automatizado con Playwright (20.6 s).</t>
        </is>
      </c>
      <c r="O58" s="9" t="inlineStr">
        <is>
          <t>2026-09-25</t>
        </is>
      </c>
    </row>
    <row r="59" ht="70" customHeight="1">
      <c r="A59" s="8" t="inlineStr">
        <is>
          <t>CP-58</t>
        </is>
      </c>
      <c r="B59" s="8" t="inlineStr">
        <is>
          <t>F15 Pagos a fondo</t>
        </is>
      </c>
      <c r="C59" s="8" t="inlineStr">
        <is>
          <t>Recepcionista</t>
        </is>
      </c>
      <c r="D59" s="8" t="inlineStr">
        <is>
          <t>Pagos</t>
        </is>
      </c>
      <c r="E59" s="8" t="inlineStr">
        <is>
          <t>E2E</t>
        </is>
      </c>
      <c r="F59" s="8" t="inlineStr">
        <is>
          <t>Alta</t>
        </is>
      </c>
      <c r="G59" s="8" t="inlineStr">
        <is>
          <t>Cliente con plan de abono minimo $80.000.</t>
        </is>
      </c>
      <c r="H59" s="8" t="inlineStr">
        <is>
          <t>1. Cobrar $50.000 (por debajo del minimo)</t>
        </is>
      </c>
      <c r="I59" s="8" t="inlineStr">
        <is>
          <t>$50.000 sobre minimo $80.000</t>
        </is>
      </c>
      <c r="J59" s="8" t="inlineStr">
        <is>
          <t>Se rechaza y el mensaje cita el monto minimo real del plan.</t>
        </is>
      </c>
      <c r="K59" s="9" t="inlineStr">
        <is>
          <t>OK</t>
        </is>
      </c>
      <c r="L59" s="9" t="inlineStr">
        <is>
          <t>Comportamiento conforme a lo esperado.</t>
        </is>
      </c>
      <c r="M59" s="9" t="inlineStr">
        <is>
          <t>test-finished-1.png, test-finished-2.png, video.webm, trace.zip</t>
        </is>
      </c>
      <c r="N59" s="9" t="inlineStr">
        <is>
          <t>Automatizado con Playwright (4.5 s).</t>
        </is>
      </c>
      <c r="O59" s="9" t="inlineStr">
        <is>
          <t>2026-09-25</t>
        </is>
      </c>
    </row>
    <row r="60" ht="70" customHeight="1">
      <c r="A60" s="8" t="inlineStr">
        <is>
          <t>CP-59</t>
        </is>
      </c>
      <c r="B60" s="8" t="inlineStr">
        <is>
          <t>F15 Pagos a fondo</t>
        </is>
      </c>
      <c r="C60" s="8" t="inlineStr">
        <is>
          <t>Recepcionista</t>
        </is>
      </c>
      <c r="D60" s="8" t="inlineStr">
        <is>
          <t>Pagos</t>
        </is>
      </c>
      <c r="E60" s="8" t="inlineStr">
        <is>
          <t>E2E</t>
        </is>
      </c>
      <c r="F60" s="8" t="inlineStr">
        <is>
          <t>Alta</t>
        </is>
      </c>
      <c r="G60" s="8" t="inlineStr">
        <is>
          <t>Mismo cliente, sin pagos aun.</t>
        </is>
      </c>
      <c r="H60" s="8" t="inlineStr">
        <is>
          <t>1. Cobrar el abono minimo (80.000 de 200.000)</t>
        </is>
      </c>
      <c r="I60" s="8" t="inlineStr">
        <is>
          <t>$80.000</t>
        </is>
      </c>
      <c r="J60" s="8" t="inlineStr">
        <is>
          <t>Queda registrado como '1.º abono', con $120.000 de saldo restante, no como pago completo.</t>
        </is>
      </c>
      <c r="K60" s="9" t="inlineStr">
        <is>
          <t>OK</t>
        </is>
      </c>
      <c r="L60" s="9" t="inlineStr">
        <is>
          <t>Comportamiento conforme a lo esperado.</t>
        </is>
      </c>
      <c r="M60" s="9" t="inlineStr">
        <is>
          <t>primer-abono, test-finished-1.png, video.webm, trace.zip</t>
        </is>
      </c>
      <c r="N60" s="9" t="inlineStr">
        <is>
          <t>Automatizado con Playwright (8.7 s).</t>
        </is>
      </c>
      <c r="O60" s="9" t="inlineStr">
        <is>
          <t>2026-09-25</t>
        </is>
      </c>
    </row>
    <row r="61" ht="70" customHeight="1">
      <c r="A61" s="8" t="inlineStr">
        <is>
          <t>CP-60</t>
        </is>
      </c>
      <c r="B61" s="8" t="inlineStr">
        <is>
          <t>F15 Pagos a fondo</t>
        </is>
      </c>
      <c r="C61" s="8" t="inlineStr">
        <is>
          <t>Recepcionista</t>
        </is>
      </c>
      <c r="D61" s="8" t="inlineStr">
        <is>
          <t>Pagos</t>
        </is>
      </c>
      <c r="E61" s="8" t="inlineStr">
        <is>
          <t>E2E</t>
        </is>
      </c>
      <c r="F61" s="8" t="inlineStr">
        <is>
          <t>Media</t>
        </is>
      </c>
      <c r="G61" s="8" t="inlineStr">
        <is>
          <t>Cliente con un abono a medias.</t>
        </is>
      </c>
      <c r="H61" s="8" t="inlineStr">
        <is>
          <t>1. Pagos &gt; Con saldo pendiente</t>
        </is>
      </c>
      <c r="I61" s="8" t="inlineStr">
        <is>
          <t>-</t>
        </is>
      </c>
      <c r="J61" s="8" t="inlineStr">
        <is>
          <t>El cliente aparece en el listado de pendientes mientras tenga saldo.</t>
        </is>
      </c>
      <c r="K61" s="9" t="inlineStr">
        <is>
          <t>OK</t>
        </is>
      </c>
      <c r="L61" s="9" t="inlineStr">
        <is>
          <t>Comportamiento conforme a lo esperado.</t>
        </is>
      </c>
      <c r="M61" s="9" t="inlineStr">
        <is>
          <t>saldo-pendiente, test-finished-1.png, video.webm, trace.zip</t>
        </is>
      </c>
      <c r="N61" s="9" t="inlineStr">
        <is>
          <t>Automatizado con Playwright (4.0 s).</t>
        </is>
      </c>
      <c r="O61" s="9" t="inlineStr">
        <is>
          <t>2026-09-25</t>
        </is>
      </c>
    </row>
    <row r="62" ht="70" customHeight="1">
      <c r="A62" s="8" t="inlineStr">
        <is>
          <t>CP-61</t>
        </is>
      </c>
      <c r="B62" s="8" t="inlineStr">
        <is>
          <t>F15 Pagos a fondo</t>
        </is>
      </c>
      <c r="C62" s="8" t="inlineStr">
        <is>
          <t>Recepcionista</t>
        </is>
      </c>
      <c r="D62" s="8" t="inlineStr">
        <is>
          <t>Pagos</t>
        </is>
      </c>
      <c r="E62" s="8" t="inlineStr">
        <is>
          <t>E2E</t>
        </is>
      </c>
      <c r="F62" s="8" t="inlineStr">
        <is>
          <t>Alta</t>
        </is>
      </c>
      <c r="G62" s="8" t="inlineStr">
        <is>
          <t>Cliente con saldo de $120.000.</t>
        </is>
      </c>
      <c r="H62" s="8" t="inlineStr">
        <is>
          <t>1. Intentar cobrar $150.000 (mas que el saldo)</t>
        </is>
      </c>
      <c r="I62" s="8" t="inlineStr">
        <is>
          <t>$150.000 sobre saldo $120.000</t>
        </is>
      </c>
      <c r="J62" s="8" t="inlineStr">
        <is>
          <t>Se rechaza: el monto no puede superar el saldo pendiente.</t>
        </is>
      </c>
      <c r="K62" s="9" t="inlineStr">
        <is>
          <t>OK</t>
        </is>
      </c>
      <c r="L62" s="9" t="inlineStr">
        <is>
          <t>Comportamiento conforme a lo esperado.</t>
        </is>
      </c>
      <c r="M62" s="9" t="inlineStr">
        <is>
          <t>test-finished-1.png, video.webm, trace.zip</t>
        </is>
      </c>
      <c r="N62" s="9" t="inlineStr">
        <is>
          <t>Automatizado con Playwright (4.6 s).</t>
        </is>
      </c>
      <c r="O62" s="9" t="inlineStr">
        <is>
          <t>2026-09-25</t>
        </is>
      </c>
    </row>
    <row r="63" ht="70" customHeight="1">
      <c r="A63" s="8" t="inlineStr">
        <is>
          <t>CP-62</t>
        </is>
      </c>
      <c r="B63" s="8" t="inlineStr">
        <is>
          <t>F15 Pagos a fondo</t>
        </is>
      </c>
      <c r="C63" s="8" t="inlineStr">
        <is>
          <t>Recepcionista</t>
        </is>
      </c>
      <c r="D63" s="8" t="inlineStr">
        <is>
          <t>Pagos</t>
        </is>
      </c>
      <c r="E63" s="8" t="inlineStr">
        <is>
          <t>E2E</t>
        </is>
      </c>
      <c r="F63" s="8" t="inlineStr">
        <is>
          <t>Alta</t>
        </is>
      </c>
      <c r="G63" s="8" t="inlineStr">
        <is>
          <t>Cliente con saldo de $120.000.</t>
        </is>
      </c>
      <c r="H63" s="8" t="inlineStr">
        <is>
          <t>1. Cobrar exactamente $120.000
2. Revisar Todos los pagos y Con saldo pendiente</t>
        </is>
      </c>
      <c r="I63" s="8" t="inlineStr">
        <is>
          <t>$120.000</t>
        </is>
      </c>
      <c r="J63" s="8" t="inlineStr">
        <is>
          <t>Queda como 'Abono final'/'Pago completo'. El cliente sale del listado de pendientes.</t>
        </is>
      </c>
      <c r="K63" s="9" t="inlineStr">
        <is>
          <t>OK</t>
        </is>
      </c>
      <c r="L63" s="9" t="inlineStr">
        <is>
          <t>Comportamiento conforme a lo esperado.</t>
        </is>
      </c>
      <c r="M63" s="9" t="inlineStr">
        <is>
          <t>saldado, test-finished-1.png, video.webm, trace.zip</t>
        </is>
      </c>
      <c r="N63" s="9" t="inlineStr">
        <is>
          <t>Automatizado con Playwright (8.9 s).</t>
        </is>
      </c>
      <c r="O63" s="9" t="inlineStr">
        <is>
          <t>2026-09-25</t>
        </is>
      </c>
    </row>
    <row r="64" ht="70" customHeight="1">
      <c r="A64" s="8" t="inlineStr">
        <is>
          <t>CP-63</t>
        </is>
      </c>
      <c r="B64" s="8" t="inlineStr">
        <is>
          <t>F15 Pagos a fondo</t>
        </is>
      </c>
      <c r="C64" s="8" t="inlineStr">
        <is>
          <t>Recepcionista</t>
        </is>
      </c>
      <c r="D64" s="8" t="inlineStr">
        <is>
          <t>Pagos, Entrenadores</t>
        </is>
      </c>
      <c r="E64" s="8" t="inlineStr">
        <is>
          <t>E2E</t>
        </is>
      </c>
      <c r="F64" s="8" t="inlineStr">
        <is>
          <t>Alta</t>
        </is>
      </c>
      <c r="G64" s="8" t="inlineStr">
        <is>
          <t>Cliente en plan Personalizado (reparto 50/50) con entrenador asignado.</t>
        </is>
      </c>
      <c r="H64" s="8" t="inlineStr">
        <is>
          <t>1. Cobrar el valor completo del plan ($200.000)
2. Entrenadores &gt; Comisiones</t>
        </is>
      </c>
      <c r="I64" s="8" t="inlineStr">
        <is>
          <t>Plan $200.000, reparto 50/50</t>
        </is>
      </c>
      <c r="J64" s="8" t="inlineStr">
        <is>
          <t>La fila del entrenador en Comisiones muestra $100.000, el 50% acordado.</t>
        </is>
      </c>
      <c r="K64" s="9" t="inlineStr">
        <is>
          <t>OK</t>
        </is>
      </c>
      <c r="L64" s="9" t="inlineStr">
        <is>
          <t>Comportamiento conforme a lo esperado.</t>
        </is>
      </c>
      <c r="M64" s="9" t="inlineStr">
        <is>
          <t>comision-generada, test-finished-1.png, video.webm, trace.zip</t>
        </is>
      </c>
      <c r="N64" s="9" t="inlineStr">
        <is>
          <t>Automatizado con Playwright (8.0 s).</t>
        </is>
      </c>
      <c r="O64" s="9" t="inlineStr">
        <is>
          <t>2026-09-25</t>
        </is>
      </c>
    </row>
    <row r="65" ht="70" customHeight="1">
      <c r="A65" s="8" t="inlineStr">
        <is>
          <t>CP-64</t>
        </is>
      </c>
      <c r="B65" s="8" t="inlineStr">
        <is>
          <t>F15 Pagos a fondo</t>
        </is>
      </c>
      <c r="C65" s="8" t="inlineStr">
        <is>
          <t>Recepcionista</t>
        </is>
      </c>
      <c r="D65" s="8" t="inlineStr">
        <is>
          <t>Clientes</t>
        </is>
      </c>
      <c r="E65" s="8" t="inlineStr">
        <is>
          <t>E2E</t>
        </is>
      </c>
      <c r="F65" s="8" t="inlineStr">
        <is>
          <t>Alta</t>
        </is>
      </c>
      <c r="G65" s="8" t="inlineStr">
        <is>
          <t>Plan Personalizado (exige entrenador, RF-24).</t>
        </is>
      </c>
      <c r="H65" s="8" t="inlineStr">
        <is>
          <t>1. Crear un cliente con plan Personalizado
2. No elegir entrenador
3. Guardar</t>
        </is>
      </c>
      <c r="I65" s="8" t="inlineStr">
        <is>
          <t>-</t>
        </is>
      </c>
      <c r="J65" s="8" t="inlineStr">
        <is>
          <t>No guarda; el foco salta al campo Entrenador, el primero invalido.</t>
        </is>
      </c>
      <c r="K65" s="9" t="inlineStr">
        <is>
          <t>OK</t>
        </is>
      </c>
      <c r="L65" s="9" t="inlineStr">
        <is>
          <t>Comportamiento conforme a lo esperado.</t>
        </is>
      </c>
      <c r="M65" s="9" t="inlineStr">
        <is>
          <t>test-finished-1.png, video.webm, trace.zip</t>
        </is>
      </c>
      <c r="N65" s="9" t="inlineStr">
        <is>
          <t>Automatizado con Playwright (4.1 s).</t>
        </is>
      </c>
      <c r="O65" s="9" t="inlineStr">
        <is>
          <t>2026-09-25</t>
        </is>
      </c>
    </row>
    <row r="66" ht="70" customHeight="1">
      <c r="A66" s="8" t="inlineStr">
        <is>
          <t>CP-65</t>
        </is>
      </c>
      <c r="B66" s="8" t="inlineStr">
        <is>
          <t>F15 Pagos a fondo</t>
        </is>
      </c>
      <c r="C66" s="8" t="inlineStr">
        <is>
          <t>Recepcionista</t>
        </is>
      </c>
      <c r="D66" s="8" t="inlineStr">
        <is>
          <t>Pagos</t>
        </is>
      </c>
      <c r="E66" s="8" t="inlineStr">
        <is>
          <t>E2E</t>
        </is>
      </c>
      <c r="F66" s="8" t="inlineStr">
        <is>
          <t>Media</t>
        </is>
      </c>
      <c r="G66" s="8" t="inlineStr">
        <is>
          <t>Cualquier cliente con plan asignado.</t>
        </is>
      </c>
      <c r="H66" s="8" t="inlineStr">
        <is>
          <t>1. Cobrar con Monto = 0</t>
        </is>
      </c>
      <c r="I66" s="8" t="inlineStr">
        <is>
          <t>$0</t>
        </is>
      </c>
      <c r="J66" s="8" t="inlineStr">
        <is>
          <t>Se rechaza: el monto debe ser mayor que cero.</t>
        </is>
      </c>
      <c r="K66" s="9" t="inlineStr">
        <is>
          <t>OK</t>
        </is>
      </c>
      <c r="L66" s="9" t="inlineStr">
        <is>
          <t>Comportamiento conforme a lo esperado.</t>
        </is>
      </c>
      <c r="M66" s="9" t="inlineStr">
        <is>
          <t>test-finished-1.png, video.webm, trace.zip</t>
        </is>
      </c>
      <c r="N66" s="9" t="inlineStr">
        <is>
          <t>Automatizado con Playwright (4.1 s).</t>
        </is>
      </c>
      <c r="O66" s="9" t="inlineStr">
        <is>
          <t>2026-09-25</t>
        </is>
      </c>
    </row>
    <row r="67" ht="70" customHeight="1">
      <c r="A67" s="8" t="inlineStr">
        <is>
          <t>CP-66</t>
        </is>
      </c>
      <c r="B67" s="8" t="inlineStr">
        <is>
          <t>F16 Inventario a fondo</t>
        </is>
      </c>
      <c r="C67" s="8" t="inlineStr">
        <is>
          <t>Recepcionista</t>
        </is>
      </c>
      <c r="D67" s="8" t="inlineStr">
        <is>
          <t>Inventario</t>
        </is>
      </c>
      <c r="E67" s="8" t="inlineStr">
        <is>
          <t>E2E</t>
        </is>
      </c>
      <c r="F67" s="8" t="inlineStr">
        <is>
          <t>Alta</t>
        </is>
      </c>
      <c r="G67" s="8" t="inlineStr">
        <is>
          <t>Sesion iniciada.</t>
        </is>
      </c>
      <c r="H67" s="8" t="inlineStr">
        <is>
          <t>1. Inventario &gt; Agregar item
2. Nombre, existencias, minimo
3. Guardar</t>
        </is>
      </c>
      <c r="I67" s="8" t="inlineStr">
        <is>
          <t>Stock 20, minimo 5</t>
        </is>
      </c>
      <c r="J67" s="8" t="inlineStr">
        <is>
          <t>Aparece en el listado con sus existencias y el estado 'Disponible'.</t>
        </is>
      </c>
      <c r="K67" s="9" t="inlineStr">
        <is>
          <t>OK</t>
        </is>
      </c>
      <c r="L67" s="9" t="inlineStr">
        <is>
          <t>Comportamiento conforme a lo esperado.</t>
        </is>
      </c>
      <c r="M67" s="9" t="inlineStr">
        <is>
          <t>test-finished-1.png, item-creado, test-finished-2.png, video.webm, trace.zip</t>
        </is>
      </c>
      <c r="N67" s="9" t="inlineStr">
        <is>
          <t>Automatizado con Playwright (3.5 s).</t>
        </is>
      </c>
      <c r="O67" s="9" t="inlineStr">
        <is>
          <t>2026-09-25</t>
        </is>
      </c>
    </row>
    <row r="68" ht="70" customHeight="1">
      <c r="A68" s="8" t="inlineStr">
        <is>
          <t>CP-67</t>
        </is>
      </c>
      <c r="B68" s="8" t="inlineStr">
        <is>
          <t>F16 Inventario a fondo</t>
        </is>
      </c>
      <c r="C68" s="8" t="inlineStr">
        <is>
          <t>Recepcionista</t>
        </is>
      </c>
      <c r="D68" s="8" t="inlineStr">
        <is>
          <t>Inventario</t>
        </is>
      </c>
      <c r="E68" s="8" t="inlineStr">
        <is>
          <t>E2E</t>
        </is>
      </c>
      <c r="F68" s="8" t="inlineStr">
        <is>
          <t>Alta</t>
        </is>
      </c>
      <c r="G68" s="8" t="inlineStr">
        <is>
          <t>Item con stock 3 y minimo 5.</t>
        </is>
      </c>
      <c r="H68" s="8" t="inlineStr">
        <is>
          <t>1. Inventario &gt; Todos los items
2. Inventario &gt; Bajo minimo</t>
        </is>
      </c>
      <c r="I68" s="8" t="inlineStr">
        <is>
          <t>Stock 3, minimo 5</t>
        </is>
      </c>
      <c r="J68" s="8" t="inlineStr">
        <is>
          <t>La fila se marca 'Bajo minimo' y aparece en el filtro correspondiente.</t>
        </is>
      </c>
      <c r="K68" s="9" t="inlineStr">
        <is>
          <t>OK</t>
        </is>
      </c>
      <c r="L68" s="9" t="inlineStr">
        <is>
          <t>Comportamiento conforme a lo esperado.</t>
        </is>
      </c>
      <c r="M68" s="9" t="inlineStr">
        <is>
          <t>bajo-minimo, test-finished-1.png, video.webm, trace.zip</t>
        </is>
      </c>
      <c r="N68" s="9" t="inlineStr">
        <is>
          <t>Automatizado con Playwright (5.6 s).</t>
        </is>
      </c>
      <c r="O68" s="9" t="inlineStr">
        <is>
          <t>2026-09-25</t>
        </is>
      </c>
    </row>
    <row r="69" ht="70" customHeight="1">
      <c r="A69" s="8" t="inlineStr">
        <is>
          <t>CP-68</t>
        </is>
      </c>
      <c r="B69" s="8" t="inlineStr">
        <is>
          <t>F16 Inventario a fondo</t>
        </is>
      </c>
      <c r="C69" s="8" t="inlineStr">
        <is>
          <t>Recepcionista</t>
        </is>
      </c>
      <c r="D69" s="8" t="inlineStr">
        <is>
          <t>Inventario</t>
        </is>
      </c>
      <c r="E69" s="8" t="inlineStr">
        <is>
          <t>E2E</t>
        </is>
      </c>
      <c r="F69" s="8" t="inlineStr">
        <is>
          <t>Alta</t>
        </is>
      </c>
      <c r="G69" s="8" t="inlineStr">
        <is>
          <t>Item con stock 0.</t>
        </is>
      </c>
      <c r="H69" s="8" t="inlineStr">
        <is>
          <t>1. Inventario &gt; Agotados</t>
        </is>
      </c>
      <c r="I69" s="8" t="inlineStr">
        <is>
          <t>Stock 0</t>
        </is>
      </c>
      <c r="J69" s="8" t="inlineStr">
        <is>
          <t>Aparece marcado 'Agotado', no 'Bajo minimo': son categorias distintas.</t>
        </is>
      </c>
      <c r="K69" s="9" t="inlineStr">
        <is>
          <t>OK</t>
        </is>
      </c>
      <c r="L69" s="9" t="inlineStr">
        <is>
          <t>Comportamiento conforme a lo esperado.</t>
        </is>
      </c>
      <c r="M69" s="9" t="inlineStr">
        <is>
          <t>agotados, test-finished-1.png, video.webm, trace.zip</t>
        </is>
      </c>
      <c r="N69" s="9" t="inlineStr">
        <is>
          <t>Automatizado con Playwright (4.3 s).</t>
        </is>
      </c>
      <c r="O69" s="9" t="inlineStr">
        <is>
          <t>2026-09-25</t>
        </is>
      </c>
    </row>
    <row r="70" ht="70" customHeight="1">
      <c r="A70" s="8" t="inlineStr">
        <is>
          <t>CP-69</t>
        </is>
      </c>
      <c r="B70" s="8" t="inlineStr">
        <is>
          <t>F16 Inventario a fondo</t>
        </is>
      </c>
      <c r="C70" s="8" t="inlineStr">
        <is>
          <t>Recepcionista</t>
        </is>
      </c>
      <c r="D70" s="8" t="inlineStr">
        <is>
          <t>Inventario</t>
        </is>
      </c>
      <c r="E70" s="8" t="inlineStr">
        <is>
          <t>E2E</t>
        </is>
      </c>
      <c r="F70" s="8" t="inlineStr">
        <is>
          <t>Media</t>
        </is>
      </c>
      <c r="G70" s="8" t="inlineStr">
        <is>
          <t>Item existente.</t>
        </is>
      </c>
      <c r="H70" s="8" t="inlineStr">
        <is>
          <t>1. Editar el item
2. Borrar el nombre
3. Guardar</t>
        </is>
      </c>
      <c r="I70" s="8" t="inlineStr">
        <is>
          <t>Nombre vacio</t>
        </is>
      </c>
      <c r="J70" s="8" t="inlineStr">
        <is>
          <t>Rechaza con 'El nombre es obligatorio'.</t>
        </is>
      </c>
      <c r="K70" s="9" t="inlineStr">
        <is>
          <t>OK</t>
        </is>
      </c>
      <c r="L70" s="9" t="inlineStr">
        <is>
          <t>Comportamiento conforme a lo esperado.</t>
        </is>
      </c>
      <c r="M70" s="9" t="inlineStr">
        <is>
          <t>test-finished-1.png, video.webm, trace.zip</t>
        </is>
      </c>
      <c r="N70" s="9" t="inlineStr">
        <is>
          <t>Automatizado con Playwright (4.3 s).</t>
        </is>
      </c>
      <c r="O70" s="9" t="inlineStr">
        <is>
          <t>2026-09-25</t>
        </is>
      </c>
    </row>
    <row r="71" ht="70" customHeight="1">
      <c r="A71" s="8" t="inlineStr">
        <is>
          <t>CP-70</t>
        </is>
      </c>
      <c r="B71" s="8" t="inlineStr">
        <is>
          <t>F16 Inventario a fondo</t>
        </is>
      </c>
      <c r="C71" s="8" t="inlineStr">
        <is>
          <t>Recepcionista</t>
        </is>
      </c>
      <c r="D71" s="8" t="inlineStr">
        <is>
          <t>Inventario</t>
        </is>
      </c>
      <c r="E71" s="8" t="inlineStr">
        <is>
          <t>Hallazgo</t>
        </is>
      </c>
      <c r="F71" s="8" t="inlineStr">
        <is>
          <t>Baja</t>
        </is>
      </c>
      <c r="G71" s="8" t="inlineStr">
        <is>
          <t>Item existente.</t>
        </is>
      </c>
      <c r="H71" s="8" t="inlineStr">
        <is>
          <t>1. Editar el item
2. Poner Existencias en -5
3. Guardar</t>
        </is>
      </c>
      <c r="I71" s="8" t="inlineStr">
        <is>
          <t>Existencias -5</t>
        </is>
      </c>
      <c r="J71" s="8" t="inlineStr">
        <is>
          <t>HALLAZGO: el navegador bloquea el envio por el atributo min=0 antes de que React valide. El mensaje propio de la app ('no pueden ser negativas') nunca se ve: es codigo muerto en la practica. No es un riesgo funcional (el usuario no logra guardar el valor invalido), pero el mensaje deberia quitarse o el campo dejar de depender solo de la validacion nativa.</t>
        </is>
      </c>
      <c r="K71" s="9" t="inlineStr">
        <is>
          <t>OK</t>
        </is>
      </c>
      <c r="L71" s="9" t="inlineStr">
        <is>
          <t>Comportamiento conforme a lo esperado.</t>
        </is>
      </c>
      <c r="M71" s="9" t="inlineStr">
        <is>
          <t>test-finished-1.png, video.webm, trace.zip</t>
        </is>
      </c>
      <c r="N71" s="9" t="inlineStr">
        <is>
          <t>Automatizado con Playwright (4.5 s).</t>
        </is>
      </c>
      <c r="O71" s="9" t="inlineStr">
        <is>
          <t>2026-09-25</t>
        </is>
      </c>
    </row>
    <row r="72" ht="70" customHeight="1">
      <c r="A72" s="8" t="inlineStr">
        <is>
          <t>CP-71</t>
        </is>
      </c>
      <c r="B72" s="8" t="inlineStr">
        <is>
          <t>F16 Inventario a fondo</t>
        </is>
      </c>
      <c r="C72" s="8" t="inlineStr">
        <is>
          <t>Recepcionista</t>
        </is>
      </c>
      <c r="D72" s="8" t="inlineStr">
        <is>
          <t>Inventario, Apartado diario</t>
        </is>
      </c>
      <c r="E72" s="8" t="inlineStr">
        <is>
          <t>E2E</t>
        </is>
      </c>
      <c r="F72" s="8" t="inlineStr">
        <is>
          <t>Alta</t>
        </is>
      </c>
      <c r="G72" s="8" t="inlineStr">
        <is>
          <t>Item con 20 en existencia.</t>
        </is>
      </c>
      <c r="H72" s="8" t="inlineStr">
        <is>
          <t>1. Apartado diario &gt; Registrar venta
2. Vender 3 unidades
3. Revisar el stock del item</t>
        </is>
      </c>
      <c r="I72" s="8" t="inlineStr">
        <is>
          <t>Cantidad 3</t>
        </is>
      </c>
      <c r="J72" s="8" t="inlineStr">
        <is>
          <t>El stock baja exactamente en 3 (de 20 a 17), en la misma transaccion que la venta.</t>
        </is>
      </c>
      <c r="K72" s="9" t="inlineStr">
        <is>
          <t>OK</t>
        </is>
      </c>
      <c r="L72" s="9" t="inlineStr">
        <is>
          <t>Comportamiento conforme a lo esperado.</t>
        </is>
      </c>
      <c r="M72" s="9" t="inlineStr">
        <is>
          <t>stock-descontado, test-finished-1.png, video.webm, trace.zip</t>
        </is>
      </c>
      <c r="N72" s="9" t="inlineStr">
        <is>
          <t>Automatizado con Playwright (7.7 s).</t>
        </is>
      </c>
      <c r="O72" s="9" t="inlineStr">
        <is>
          <t>2026-09-25</t>
        </is>
      </c>
    </row>
    <row r="73" ht="70" customHeight="1">
      <c r="A73" s="8" t="inlineStr">
        <is>
          <t>CP-72</t>
        </is>
      </c>
      <c r="B73" s="8" t="inlineStr">
        <is>
          <t>F16 Inventario a fondo</t>
        </is>
      </c>
      <c r="C73" s="8" t="inlineStr">
        <is>
          <t>Recepcionista</t>
        </is>
      </c>
      <c r="D73" s="8" t="inlineStr">
        <is>
          <t>Inventario, Apartado diario</t>
        </is>
      </c>
      <c r="E73" s="8" t="inlineStr">
        <is>
          <t>E2E</t>
        </is>
      </c>
      <c r="F73" s="8" t="inlineStr">
        <is>
          <t>Alta</t>
        </is>
      </c>
      <c r="G73" s="8" t="inlineStr">
        <is>
          <t>Item agotado (stock 0).</t>
        </is>
      </c>
      <c r="H73" s="8" t="inlineStr">
        <is>
          <t>1. Intentar vender 1 unidad de un item agotado</t>
        </is>
      </c>
      <c r="I73" s="8" t="inlineStr">
        <is>
          <t>Cantidad 1, stock 0</t>
        </is>
      </c>
      <c r="J73" s="8" t="inlineStr">
        <is>
          <t>Se rechaza ('dejaria el inventario en negativo'). El item sigue en Agotados, el stock no se mueve.</t>
        </is>
      </c>
      <c r="K73" s="9" t="inlineStr">
        <is>
          <t>OK</t>
        </is>
      </c>
      <c r="L73" s="9" t="inlineStr">
        <is>
          <t>Comportamiento conforme a lo esperado.</t>
        </is>
      </c>
      <c r="M73" s="9" t="inlineStr">
        <is>
          <t>test-finished-1.png, video.webm, trace.zip</t>
        </is>
      </c>
      <c r="N73" s="9" t="inlineStr">
        <is>
          <t>Automatizado con Playwright (7.4 s).</t>
        </is>
      </c>
      <c r="O73" s="9" t="inlineStr">
        <is>
          <t>2026-09-25</t>
        </is>
      </c>
    </row>
    <row r="74" ht="70" customHeight="1">
      <c r="A74" s="8" t="inlineStr">
        <is>
          <t>CP-73</t>
        </is>
      </c>
      <c r="B74" s="8" t="inlineStr">
        <is>
          <t>F16 Inventario a fondo</t>
        </is>
      </c>
      <c r="C74" s="8" t="inlineStr">
        <is>
          <t>Recepcionista</t>
        </is>
      </c>
      <c r="D74" s="8" t="inlineStr">
        <is>
          <t>Apartado diario</t>
        </is>
      </c>
      <c r="E74" s="8" t="inlineStr">
        <is>
          <t>E2E</t>
        </is>
      </c>
      <c r="F74" s="8" t="inlineStr">
        <is>
          <t>Media</t>
        </is>
      </c>
      <c r="G74" s="8" t="inlineStr">
        <is>
          <t>Formulario de venta abierto.</t>
        </is>
      </c>
      <c r="H74" s="8" t="inlineStr">
        <is>
          <t>1. Dejar Cantidad en 0
2. Intentar registrar</t>
        </is>
      </c>
      <c r="I74" s="8" t="inlineStr">
        <is>
          <t>Cantidad 0</t>
        </is>
      </c>
      <c r="J74" s="8" t="inlineStr">
        <is>
          <t>Se rechaza en el formulario ('la cantidad debe ser mayor que cero') sin llegar a llamar la API (0 peticiones POST).</t>
        </is>
      </c>
      <c r="K74" s="9" t="inlineStr">
        <is>
          <t>OK</t>
        </is>
      </c>
      <c r="L74" s="9" t="inlineStr">
        <is>
          <t>Comportamiento conforme a lo esperado.</t>
        </is>
      </c>
      <c r="M74" s="9" t="inlineStr">
        <is>
          <t>test-finished-1.png, video.webm, trace.zip</t>
        </is>
      </c>
      <c r="N74" s="9" t="inlineStr">
        <is>
          <t>Automatizado con Playwright (4.8 s).</t>
        </is>
      </c>
      <c r="O74" s="9" t="inlineStr">
        <is>
          <t>2026-09-25</t>
        </is>
      </c>
    </row>
    <row r="75" ht="70" customHeight="1">
      <c r="A75" s="8" t="inlineStr">
        <is>
          <t>CP-74</t>
        </is>
      </c>
      <c r="B75" s="8" t="inlineStr">
        <is>
          <t>F16 Inventario a fondo</t>
        </is>
      </c>
      <c r="C75" s="8" t="inlineStr">
        <is>
          <t>Recepcionista</t>
        </is>
      </c>
      <c r="D75" s="8" t="inlineStr">
        <is>
          <t>Inventario</t>
        </is>
      </c>
      <c r="E75" s="8" t="inlineStr">
        <is>
          <t>E2E</t>
        </is>
      </c>
      <c r="F75" s="8" t="inlineStr">
        <is>
          <t>Media</t>
        </is>
      </c>
      <c r="G75" s="8" t="inlineStr">
        <is>
          <t>Sesion iniciada.</t>
        </is>
      </c>
      <c r="H75" s="8" t="inlineStr">
        <is>
          <t>1. Inventario &gt; Categorias &gt; crear una
2. Inventario &gt; Agregar item &gt; revisar el selector de categoria</t>
        </is>
      </c>
      <c r="I75" s="8" t="inlineStr">
        <is>
          <t>Categoria nueva</t>
        </is>
      </c>
      <c r="J75" s="8" t="inlineStr">
        <is>
          <t>La categoria aparece disponible de inmediato en el formulario de items.</t>
        </is>
      </c>
      <c r="K75" s="9" t="inlineStr">
        <is>
          <t>OK</t>
        </is>
      </c>
      <c r="L75" s="9" t="inlineStr">
        <is>
          <t>Comportamiento conforme a lo esperado.</t>
        </is>
      </c>
      <c r="M75" s="9" t="inlineStr">
        <is>
          <t>test-finished-1.png, video.webm, trace.zip</t>
        </is>
      </c>
      <c r="N75" s="9" t="inlineStr">
        <is>
          <t>Automatizado con Playwright (5.6 s).</t>
        </is>
      </c>
      <c r="O75" s="9" t="inlineStr">
        <is>
          <t>2026-09-25</t>
        </is>
      </c>
    </row>
    <row r="76" ht="70" customHeight="1">
      <c r="A76" s="8" t="inlineStr">
        <is>
          <t>CP-75</t>
        </is>
      </c>
      <c r="B76" s="8" t="inlineStr">
        <is>
          <t>F16 Inventario a fondo</t>
        </is>
      </c>
      <c r="C76" s="8" t="inlineStr">
        <is>
          <t>Recepcionista</t>
        </is>
      </c>
      <c r="D76" s="8" t="inlineStr">
        <is>
          <t>Inventario, Apartado diario</t>
        </is>
      </c>
      <c r="E76" s="8" t="inlineStr">
        <is>
          <t>E2E</t>
        </is>
      </c>
      <c r="F76" s="8" t="inlineStr">
        <is>
          <t>Media</t>
        </is>
      </c>
      <c r="G76" s="8" t="inlineStr">
        <is>
          <t>Item con existencia, cliente registrado.</t>
        </is>
      </c>
      <c r="H76" s="8" t="inlineStr">
        <is>
          <t>1. Registrar una venta eligiendo un cliente (no venta de mostrador)
2. Revisar el stock</t>
        </is>
      </c>
      <c r="I76" s="8" t="inlineStr">
        <is>
          <t>-</t>
        </is>
      </c>
      <c r="J76" s="8" t="inlineStr">
        <is>
          <t>El stock se descuenta igual que en una venta de mostrador; el cliente queda asociado a la venta.</t>
        </is>
      </c>
      <c r="K76" s="9" t="inlineStr">
        <is>
          <t>OK</t>
        </is>
      </c>
      <c r="L76" s="9" t="inlineStr">
        <is>
          <t>Comportamiento conforme a lo esperado.</t>
        </is>
      </c>
      <c r="M76" s="9" t="inlineStr">
        <is>
          <t>venta-a-cliente, test-finished-1.png, video.webm, trace.zip</t>
        </is>
      </c>
      <c r="N76" s="9" t="inlineStr">
        <is>
          <t>Automatizado con Playwright (16.1 s).</t>
        </is>
      </c>
      <c r="O76" s="9" t="inlineStr">
        <is>
          <t>2026-09-25</t>
        </is>
      </c>
    </row>
  </sheetData>
  <autoFilter ref="A1:O76"/>
  <dataValidations count="1">
    <dataValidation sqref="K2:K76" showDropDown="0" showInputMessage="0" showErrorMessage="0" allowBlank="1" type="list">
      <formula1>"Pendiente,OK,Fallo,Bloqueado,No aplica"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78" customWidth="1" min="2" max="2"/>
    <col width="30" customWidth="1" min="3" max="3"/>
  </cols>
  <sheetData>
    <row r="1">
      <c r="A1" s="7" t="inlineStr">
        <is>
          <t>Modulo</t>
        </is>
      </c>
      <c r="B1" s="7" t="inlineStr">
        <is>
          <t>Profundidad de esta corrida</t>
        </is>
      </c>
      <c r="C1" s="7" t="inlineStr">
        <is>
          <t>Cubierto por</t>
        </is>
      </c>
    </row>
    <row r="2" ht="58" customHeight="1">
      <c r="A2" s="8" t="inlineStr">
        <is>
          <t>Usuarios / Autenticacion</t>
        </is>
      </c>
      <c r="B2" s="8" t="inlineStr">
        <is>
          <t>Prioridad alta: credenciales invalidas, usuario inexistente, formulario vacio, bloqueo por intentos, redireccion con sesion activa, logout, firma de token alterada, 401 sin token en 8 endpoints, cobertura de modulos por el admin.</t>
        </is>
      </c>
      <c r="C2" s="8" t="inlineStr">
        <is>
          <t>CP-01, CP-49 a CP-57</t>
        </is>
      </c>
    </row>
    <row r="3" ht="58" customHeight="1">
      <c r="A3" s="8" t="inlineStr">
        <is>
          <t>Pagos</t>
        </is>
      </c>
      <c r="B3" s="8" t="inlineStr">
        <is>
          <t>Prioridad alta: abono minimo, abonos parciales encadenados, saldo pendiente, exceso sobre saldo, saldar la cuenta, comision de entrenador por reparto, plan sin entrenador, monto en cero, comprobante obligatorio en transferencia, visor de comprobante, renovar y cobrar en un paso.</t>
        </is>
      </c>
      <c r="C3" s="8" t="inlineStr">
        <is>
          <t>CP-10, CP-11, CP-14 a CP-18, CP-26, CP-45, CP-58 a CP-65</t>
        </is>
      </c>
    </row>
    <row r="4" ht="58" customHeight="1">
      <c r="A4" s="8" t="inlineStr">
        <is>
          <t>Inventario</t>
        </is>
      </c>
      <c r="B4" s="8" t="inlineStr">
        <is>
          <t>Prioridad alta: alta de item, bajo minimo, agotado, edicion invalida, venta descuenta stock, venta bloqueada sin stock, cantidad en cero, categorias nuevas disponibles al crear, venta a cliente puntual, hallazgo de validacion nativa vs. JS.</t>
        </is>
      </c>
      <c r="C4" s="8" t="inlineStr">
        <is>
          <t>CP-25, CP-66 a CP-75</t>
        </is>
      </c>
    </row>
    <row r="5" ht="58" customHeight="1">
      <c r="A5" s="8" t="inlineStr">
        <is>
          <t>Clientes</t>
        </is>
      </c>
      <c r="B5" s="8" t="inlineStr">
        <is>
          <t>Alta y edicion de datos, foto de perfil, aviso de membresia por vencer, un cliente por fila con multiples membresias, campo de comentarios eliminado, foco al primer campo invalido.</t>
        </is>
      </c>
      <c r="C5" s="8" t="inlineStr">
        <is>
          <t>CP-13, CP-19, CP-20, CP-37, CP-40 a CP-44</t>
        </is>
      </c>
    </row>
    <row r="6" ht="58" customHeight="1">
      <c r="A6" s="8" t="inlineStr">
        <is>
          <t>Membresias</t>
        </is>
      </c>
      <c r="B6" s="8" t="inlineStr">
        <is>
          <t>Cambio de plan abre periodo nuevo, cupo semanal como lista cerrada de 1 a 6, cupo del plan nuevo manda sobre el viejo.</t>
        </is>
      </c>
      <c r="C6" s="8" t="inlineStr">
        <is>
          <t>CP-22 a CP-24</t>
        </is>
      </c>
    </row>
    <row r="7" ht="58" customHeight="1">
      <c r="A7" s="8" t="inlineStr">
        <is>
          <t>Apartado diario / Asistencias</t>
        </is>
      </c>
      <c r="B7" s="8" t="inlineStr">
        <is>
          <t>Ingreso y salida sin duplicar cupo, bloqueo por cupo agotado o mora, contadores de personas dentro, aviso de vencimiento sin bloquear, autor de cada ingreso, desglose del ingreso del dia por autor.</t>
        </is>
      </c>
      <c r="C7" s="8" t="inlineStr">
        <is>
          <t>CP-04 a CP-08, CP-26, CP-38, CP-39, CP-46, CP-47</t>
        </is>
      </c>
    </row>
    <row r="8" ht="58" customHeight="1">
      <c r="A8" s="8" t="inlineStr">
        <is>
          <t>Entrenadores / Comisiones</t>
        </is>
      </c>
      <c r="B8" s="8" t="inlineStr">
        <is>
          <t>Comision generada por un plan con reparto, entrenador obligatorio en plan personalizado.</t>
        </is>
      </c>
      <c r="C8" s="8" t="inlineStr">
        <is>
          <t>CP-63, CP-64</t>
        </is>
      </c>
    </row>
    <row r="9" ht="58" customHeight="1">
      <c r="A9" s="8" t="inlineStr">
        <is>
          <t>Finanzas / Bolsillos de ahorro</t>
        </is>
      </c>
      <c r="B9" s="8" t="inlineStr">
        <is>
          <t>Creacion, abono, avance, cierre/reapertura y descuento de la utilidad en el balance mensual.</t>
        </is>
      </c>
      <c r="C9" s="8" t="inlineStr">
        <is>
          <t>CP-33 a CP-36</t>
        </is>
      </c>
    </row>
    <row r="10" ht="58" customHeight="1">
      <c r="A10" s="8" t="inlineStr">
        <is>
          <t>Egresos / Inventario (categorias)</t>
        </is>
      </c>
      <c r="B10" s="8" t="inlineStr">
        <is>
          <t>Panel de categorias compartido entre modulos, id asignado por el backend.</t>
        </is>
      </c>
      <c r="C10" s="8" t="inlineStr">
        <is>
          <t>CP-27, CP-74</t>
        </is>
      </c>
    </row>
    <row r="11" ht="58" customHeight="1">
      <c r="A11" s="8" t="inlineStr">
        <is>
          <t>Sesion / Seguridad transversal</t>
        </is>
      </c>
      <c r="B11" s="8" t="inlineStr">
        <is>
          <t>Renovacion de token sin reautenticar, rechazo si no hay token vigente, la sesion no se cae al navegar, renovacion al volver a la pestana.</t>
        </is>
      </c>
      <c r="C11" s="8" t="inlineStr">
        <is>
          <t>CP-29 a CP-32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2026-09-25T22:46:17Z</dcterms:created>
  <dcterms:modified xmlns:dcterms="http://purl.org/dc/terms/" xmlns:xsi="http://www.w3.org/2001/XMLSchema-instance" xsi:type="dcterms:W3CDTF">2026-09-25T22:47:09Z</dcterms:modified>
</cp:coreProperties>
</file>