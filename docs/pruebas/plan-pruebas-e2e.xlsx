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Casos de prueba" sheetId="2" state="visible" r:id="rId2"/>
    <sheet xmlns:r="http://schemas.openxmlformats.org/officeDocument/2006/relationships" name="Alcance" sheetId="3" state="visible" r:id="rId3"/>
  </sheets>
  <definedNames>
    <definedName name="_xlnm._FilterDatabase" localSheetId="1" hidden="1">'Casos de prueba'!$A$1:$O$29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F3864"/>
      <sz val="16"/>
    </font>
    <font>
      <name val="Arial"/>
      <i val="1"/>
      <sz val="10"/>
    </font>
    <font>
      <name val="Arial"/>
      <sz val="11"/>
    </font>
    <font>
      <name val="Arial"/>
      <b val="1"/>
      <sz val="1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9" fontId="5" fillId="0" borderId="0" pivotButton="0" quotePrefix="0" xfId="0"/>
    <xf numFmtId="0" fontId="6" fillId="0" borderId="0" pivotButton="0" quotePrefix="0" xfId="0"/>
    <xf numFmtId="0" fontId="4" fillId="0" borderId="0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</cols>
  <sheetData>
    <row r="1">
      <c r="A1" s="1" t="inlineStr">
        <is>
          <t>APEX GYM - Plan de pruebas end to end</t>
        </is>
      </c>
    </row>
    <row r="2">
      <c r="A2" s="2" t="inlineStr">
        <is>
          <t>Alcance: unicamente los modulos modificados en la sesion del 19 y 20 de septiembre de 2026.</t>
        </is>
      </c>
    </row>
    <row r="3">
      <c r="A3" s="2" t="inlineStr">
        <is>
          <t>Los casos recorren flujos completos de un dia de trabajo, no funciones sueltas.</t>
        </is>
      </c>
    </row>
    <row r="4">
      <c r="A4" s="3" t="inlineStr"/>
      <c r="B4" s="3" t="inlineStr"/>
    </row>
    <row r="5">
      <c r="A5" s="3" t="inlineStr">
        <is>
          <t>Total de casos</t>
        </is>
      </c>
      <c r="B5" s="3">
        <f>COUNTA('Casos de prueba'!A2:A29)</f>
        <v/>
      </c>
    </row>
    <row r="6">
      <c r="A6" s="3" t="inlineStr">
        <is>
          <t>Ejecutados OK</t>
        </is>
      </c>
      <c r="B6" s="3">
        <f>COUNTIF('Casos de prueba'!K2:K29,"OK")</f>
        <v/>
      </c>
    </row>
    <row r="7">
      <c r="A7" s="3" t="inlineStr">
        <is>
          <t>Fallidos</t>
        </is>
      </c>
      <c r="B7" s="3">
        <f>COUNTIF('Casos de prueba'!K2:K29,"Fallo")</f>
        <v/>
      </c>
    </row>
    <row r="8">
      <c r="A8" s="3" t="inlineStr">
        <is>
          <t>Bloqueados</t>
        </is>
      </c>
      <c r="B8" s="3">
        <f>COUNTIF('Casos de prueba'!K2:K29,"Bloqueado")</f>
        <v/>
      </c>
    </row>
    <row r="9">
      <c r="A9" s="3" t="inlineStr">
        <is>
          <t>Pendientes</t>
        </is>
      </c>
      <c r="B9" s="3">
        <f>COUNTIF('Casos de prueba'!K2:K29,"Pendiente")</f>
        <v/>
      </c>
    </row>
    <row r="10">
      <c r="A10" s="3" t="inlineStr">
        <is>
          <t>% avance</t>
        </is>
      </c>
      <c r="B10" s="3">
        <f>IFERROR((B6+B7)/B5,0)</f>
        <v/>
      </c>
    </row>
    <row r="11">
      <c r="A11" s="3" t="inlineStr"/>
      <c r="B11" s="4" t="inlineStr"/>
    </row>
    <row r="12">
      <c r="A12" s="5" t="inlineStr">
        <is>
          <t>Por prioridad</t>
        </is>
      </c>
      <c r="B12" s="3" t="inlineStr"/>
    </row>
    <row r="13">
      <c r="A13" s="3" t="inlineStr">
        <is>
          <t>Alta</t>
        </is>
      </c>
      <c r="B13" s="3">
        <f>COUNTIF('Casos de prueba'!F2:F29,"Alta")</f>
        <v/>
      </c>
    </row>
    <row r="14">
      <c r="A14" s="3" t="inlineStr">
        <is>
          <t>Media</t>
        </is>
      </c>
      <c r="B14" s="3">
        <f>COUNTIF('Casos de prueba'!F2:F29,"Media")</f>
        <v/>
      </c>
    </row>
    <row r="15">
      <c r="A15" s="3" t="inlineStr">
        <is>
          <t>Baja</t>
        </is>
      </c>
      <c r="B15" s="3">
        <f>COUNTIF('Casos de prueba'!F2:F29,"Baja")</f>
        <v/>
      </c>
    </row>
    <row r="16">
      <c r="A16" s="3" t="inlineStr"/>
      <c r="B16" s="3" t="inlineStr"/>
    </row>
    <row r="17">
      <c r="A17" s="5" t="inlineStr">
        <is>
          <t>Por tipo</t>
        </is>
      </c>
      <c r="B17" s="3" t="inlineStr"/>
    </row>
    <row r="18">
      <c r="A18" s="3" t="inlineStr">
        <is>
          <t>E2E</t>
        </is>
      </c>
      <c r="B18" s="3">
        <f>COUNTIF('Casos de prueba'!E2:E29,"E2E")</f>
        <v/>
      </c>
    </row>
    <row r="19">
      <c r="A19" s="3" t="inlineStr">
        <is>
          <t>Integracion</t>
        </is>
      </c>
      <c r="B19" s="3">
        <f>COUNTIF('Casos de prueba'!E2:E29,"Integracion")</f>
        <v/>
      </c>
    </row>
    <row r="20">
      <c r="A20" s="3" t="inlineStr">
        <is>
          <t>Regresion</t>
        </is>
      </c>
      <c r="B20" s="3">
        <f>COUNTIF('Casos de prueba'!E2:E29,"Regresion")</f>
        <v/>
      </c>
    </row>
    <row r="21">
      <c r="A21" s="3" t="inlineStr">
        <is>
          <t>Seguridad</t>
        </is>
      </c>
      <c r="B21" s="3">
        <f>COUNTIF('Casos de prueba'!E2:E29,"Seguridad")</f>
        <v/>
      </c>
    </row>
    <row r="24">
      <c r="A24" s="6" t="inlineStr">
        <is>
          <t>Como usar esta hoja: en 'Casos de prueba' llena solo las columnas de fondo amarillo (Estado, Resultado obtenido, Evidencia, Observaciones, Fecha). Estado se elige de la lista. Los contadores de arriba se actualizan solos.</t>
        </is>
      </c>
    </row>
    <row r="25"/>
    <row r="26"/>
    <row r="27"/>
    <row r="28"/>
  </sheetData>
  <mergeCells count="1">
    <mergeCell ref="A24:B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24" customWidth="1" min="2" max="2"/>
    <col width="14" customWidth="1" min="3" max="3"/>
    <col width="28" customWidth="1" min="4" max="4"/>
    <col width="13" customWidth="1" min="5" max="5"/>
    <col width="10" customWidth="1" min="6" max="6"/>
    <col width="36" customWidth="1" min="7" max="7"/>
    <col width="58" customWidth="1" min="8" max="8"/>
    <col width="22" customWidth="1" min="9" max="9"/>
    <col width="54" customWidth="1" min="10" max="10"/>
    <col width="13" customWidth="1" min="11" max="11"/>
    <col width="40" customWidth="1" min="12" max="12"/>
    <col width="28" customWidth="1" min="13" max="13"/>
    <col width="28" customWidth="1" min="14" max="14"/>
    <col width="14" customWidth="1" min="15" max="15"/>
  </cols>
  <sheetData>
    <row r="1" ht="32" customHeight="1">
      <c r="A1" s="7" t="inlineStr">
        <is>
          <t>ID</t>
        </is>
      </c>
      <c r="B1" s="7" t="inlineStr">
        <is>
          <t>Flujo</t>
        </is>
      </c>
      <c r="C1" s="7" t="inlineStr">
        <is>
          <t>Rol</t>
        </is>
      </c>
      <c r="D1" s="7" t="inlineStr">
        <is>
          <t>Modulos involucrados</t>
        </is>
      </c>
      <c r="E1" s="7" t="inlineStr">
        <is>
          <t>Tipo</t>
        </is>
      </c>
      <c r="F1" s="7" t="inlineStr">
        <is>
          <t>Prioridad</t>
        </is>
      </c>
      <c r="G1" s="7" t="inlineStr">
        <is>
          <t>Precondicion</t>
        </is>
      </c>
      <c r="H1" s="7" t="inlineStr">
        <is>
          <t>Pasos</t>
        </is>
      </c>
      <c r="I1" s="7" t="inlineStr">
        <is>
          <t>Datos de prueba</t>
        </is>
      </c>
      <c r="J1" s="7" t="inlineStr">
        <is>
          <t>Resultado esperado</t>
        </is>
      </c>
      <c r="K1" s="7" t="inlineStr">
        <is>
          <t>Estado</t>
        </is>
      </c>
      <c r="L1" s="7" t="inlineStr">
        <is>
          <t>Resultado obtenido</t>
        </is>
      </c>
      <c r="M1" s="7" t="inlineStr">
        <is>
          <t>Evidencia</t>
        </is>
      </c>
      <c r="N1" s="7" t="inlineStr">
        <is>
          <t>Observaciones</t>
        </is>
      </c>
      <c r="O1" s="7" t="inlineStr">
        <is>
          <t>Fecha ejecucion</t>
        </is>
      </c>
    </row>
    <row r="2" ht="74" customHeight="1">
      <c r="A2" s="8" t="inlineStr">
        <is>
          <t>CP-01</t>
        </is>
      </c>
      <c r="B2" s="8" t="inlineStr">
        <is>
          <t>F1 Apertura del dia</t>
        </is>
      </c>
      <c r="C2" s="8" t="inlineStr">
        <is>
          <t>Recepcionista</t>
        </is>
      </c>
      <c r="D2" s="8" t="inlineStr">
        <is>
          <t>Login</t>
        </is>
      </c>
      <c r="E2" s="8" t="inlineStr">
        <is>
          <t>E2E</t>
        </is>
      </c>
      <c r="F2" s="8" t="inlineStr">
        <is>
          <t>Alta</t>
        </is>
      </c>
      <c r="G2" s="8" t="inlineStr">
        <is>
          <t>Backend y Postgres arriba. Sesion cerrada.</t>
        </is>
      </c>
      <c r="H2" s="8" t="inlineStr">
        <is>
          <t>1. Abrir http://localhost:3000
2. Escribir usuario y contrasena validos
3. Pulsar Ingresar</t>
        </is>
      </c>
      <c r="I2" s="8" t="inlineStr">
        <is>
          <t>Usuario: apexg</t>
        </is>
      </c>
      <c r="J2" s="8" t="inlineStr">
        <is>
          <t>Entra al selector de modulos. La contrasena no queda en la URL ni en el historial.</t>
        </is>
      </c>
      <c r="K2" s="9" t="inlineStr">
        <is>
          <t>OK</t>
        </is>
      </c>
      <c r="L2" s="9" t="inlineStr">
        <is>
          <t>Comportamiento conforme a lo esperado.</t>
        </is>
      </c>
      <c r="M2" s="9" t="inlineStr">
        <is>
          <t>test-finished-1.png, video.webm, trace.zip</t>
        </is>
      </c>
      <c r="N2" s="9" t="inlineStr">
        <is>
          <t>Automatizado con Playwright (1.6 s).</t>
        </is>
      </c>
      <c r="O2" s="9" t="inlineStr">
        <is>
          <t>2026-09-20</t>
        </is>
      </c>
    </row>
    <row r="3" ht="74" customHeight="1">
      <c r="A3" s="8" t="inlineStr">
        <is>
          <t>CP-02</t>
        </is>
      </c>
      <c r="B3" s="8" t="inlineStr">
        <is>
          <t>F1 Apertura del dia</t>
        </is>
      </c>
      <c r="C3" s="8" t="inlineStr">
        <is>
          <t>Recepcionista</t>
        </is>
      </c>
      <c r="D3" s="8" t="inlineStr">
        <is>
          <t>Selector de modulos</t>
        </is>
      </c>
      <c r="E3" s="8" t="inlineStr">
        <is>
          <t>E2E</t>
        </is>
      </c>
      <c r="F3" s="8" t="inlineStr">
        <is>
          <t>Media</t>
        </is>
      </c>
      <c r="G3" s="8" t="inlineStr">
        <is>
          <t>Sesion iniciada.</t>
        </is>
      </c>
      <c r="H3" s="8" t="inlineStr">
        <is>
          <t>1. Observar el selector
2. Contar las tarjetas visibles
3. Comprobar que cabe sin scroll a zoom 100%</t>
        </is>
      </c>
      <c r="I3" s="8" t="inlineStr">
        <is>
          <t>-</t>
        </is>
      </c>
      <c r="J3" s="8" t="inlineStr">
        <is>
          <t>Se ven solo los modulos que el rol permite (RF-02). Logo y saludo en la misma linea que la sesion. Los 8 modulos caben sin desplazar.</t>
        </is>
      </c>
      <c r="K3" s="9" t="inlineStr">
        <is>
          <t>OK</t>
        </is>
      </c>
      <c r="L3" s="9" t="inlineStr">
        <is>
          <t>Comportamiento conforme a lo esperado.</t>
        </is>
      </c>
      <c r="M3" s="9" t="inlineStr">
        <is>
          <t>selector-de-modulos, test-finished-1.png, video.webm, trace.zip</t>
        </is>
      </c>
      <c r="N3" s="9" t="inlineStr">
        <is>
          <t>Automatizado con Playwright (1.8 s).</t>
        </is>
      </c>
      <c r="O3" s="9" t="inlineStr">
        <is>
          <t>2026-09-20</t>
        </is>
      </c>
    </row>
    <row r="4" ht="74" customHeight="1">
      <c r="A4" s="8" t="inlineStr">
        <is>
          <t>CP-03</t>
        </is>
      </c>
      <c r="B4" s="8" t="inlineStr">
        <is>
          <t>F1 Apertura del dia</t>
        </is>
      </c>
      <c r="C4" s="8" t="inlineStr">
        <is>
          <t>Recepcionista</t>
        </is>
      </c>
      <c r="D4" s="8" t="inlineStr">
        <is>
          <t>Apartado diario</t>
        </is>
      </c>
      <c r="E4" s="8" t="inlineStr">
        <is>
          <t>E2E</t>
        </is>
      </c>
      <c r="F4" s="8" t="inlineStr">
        <is>
          <t>Alta</t>
        </is>
      </c>
      <c r="G4" s="8" t="inlineStr">
        <is>
          <t>Sesion iniciada. Hay clientes cargados.</t>
        </is>
      </c>
      <c r="H4" s="8" t="inlineStr">
        <is>
          <t>1. Entrar a Apartado diario
2. Abrir la pestana Ingresos
3. Hacer clic en la caja de busqueda SIN escribir nada
4. Hacer clic fuera</t>
        </is>
      </c>
      <c r="I4" s="8" t="inlineStr">
        <is>
          <t>-</t>
        </is>
      </c>
      <c r="J4" s="8" t="inlineStr">
        <is>
          <t>Al enfocar aparece la lista de clientes (hasta 20, alfabetica). Con mas de 3 hay scroll. Al salir del campo la lista desaparece.</t>
        </is>
      </c>
      <c r="K4" s="9" t="inlineStr">
        <is>
          <t>OK</t>
        </is>
      </c>
      <c r="L4" s="9" t="inlineStr">
        <is>
          <t>Comportamiento conforme a lo esperado.</t>
        </is>
      </c>
      <c r="M4" s="9" t="inlineStr">
        <is>
          <t>test-finished-1.png, video.webm, trace.zip</t>
        </is>
      </c>
      <c r="N4" s="9" t="inlineStr">
        <is>
          <t>Automatizado con Playwright (2.6 s).</t>
        </is>
      </c>
      <c r="O4" s="9" t="inlineStr">
        <is>
          <t>2026-09-20</t>
        </is>
      </c>
    </row>
    <row r="5" ht="74" customHeight="1">
      <c r="A5" s="8" t="inlineStr">
        <is>
          <t>CP-04</t>
        </is>
      </c>
      <c r="B5" s="8" t="inlineStr">
        <is>
          <t>F2 Ingresos de la manana</t>
        </is>
      </c>
      <c r="C5" s="8" t="inlineStr">
        <is>
          <t>Recepcionista</t>
        </is>
      </c>
      <c r="D5" s="8" t="inlineStr">
        <is>
          <t>Apartado diario, Clientes</t>
        </is>
      </c>
      <c r="E5" s="8" t="inlineStr">
        <is>
          <t>E2E</t>
        </is>
      </c>
      <c r="F5" s="8" t="inlineStr">
        <is>
          <t>Alta</t>
        </is>
      </c>
      <c r="G5" s="8" t="inlineStr">
        <is>
          <t>Cliente al dia, con cupo semanal disponible.</t>
        </is>
      </c>
      <c r="H5" s="8" t="inlineStr">
        <is>
          <t>1. Buscar el cliente por nombre
2. Comprobar plan, vencimiento y barras de cupo
3. Pulsar Registrar ingreso</t>
        </is>
      </c>
      <c r="I5" s="8" t="inlineStr">
        <is>
          <t>Cliente al dia</t>
        </is>
      </c>
      <c r="J5" s="8" t="inlineStr">
        <is>
          <t>Queda en la lista de abajo con su hora. Sube 'Dentro ahora'. Las barras de cupo avanzan en uno.</t>
        </is>
      </c>
      <c r="K5" s="9" t="inlineStr">
        <is>
          <t>OK</t>
        </is>
      </c>
      <c r="L5" s="9" t="inlineStr">
        <is>
          <t>Comportamiento conforme a lo esperado.</t>
        </is>
      </c>
      <c r="M5" s="9" t="inlineStr">
        <is>
          <t>test-finished-1.png, antes-del-ingreso, test-finished-2.png, video.webm, trace.zip</t>
        </is>
      </c>
      <c r="N5" s="9" t="inlineStr">
        <is>
          <t>Automatizado con Playwright (3.0 s).</t>
        </is>
      </c>
      <c r="O5" s="9" t="inlineStr">
        <is>
          <t>2026-09-20</t>
        </is>
      </c>
    </row>
    <row r="6" ht="74" customHeight="1">
      <c r="A6" s="8" t="inlineStr">
        <is>
          <t>CP-05</t>
        </is>
      </c>
      <c r="B6" s="8" t="inlineStr">
        <is>
          <t>F2 Ingresos de la manana</t>
        </is>
      </c>
      <c r="C6" s="8" t="inlineStr">
        <is>
          <t>Recepcionista</t>
        </is>
      </c>
      <c r="D6" s="8" t="inlineStr">
        <is>
          <t>Apartado diario</t>
        </is>
      </c>
      <c r="E6" s="8" t="inlineStr">
        <is>
          <t>E2E</t>
        </is>
      </c>
      <c r="F6" s="8" t="inlineStr">
        <is>
          <t>Alta</t>
        </is>
      </c>
      <c r="G6" s="8" t="inlineStr">
        <is>
          <t>El cliente del CP-04 sigue dentro.</t>
        </is>
      </c>
      <c r="H6" s="8" t="inlineStr">
        <is>
          <t>1. Pulsar Salida en su fila
2. Buscarlo otra vez
3. Pulsar Registrar ingreso de nuevo</t>
        </is>
      </c>
      <c r="I6" s="8" t="inlineStr">
        <is>
          <t>Mismo cliente</t>
        </is>
      </c>
      <c r="J6" s="8" t="inlineStr">
        <is>
          <t>Sale y vuelve SIN consumir otro dia del cupo. No se crea una segunda fila: se reabre la suya, conservando la hora del primer ingreso.</t>
        </is>
      </c>
      <c r="K6" s="9" t="inlineStr">
        <is>
          <t>OK</t>
        </is>
      </c>
      <c r="L6" s="9" t="inlineStr">
        <is>
          <t>Comportamiento conforme a lo esperado.</t>
        </is>
      </c>
      <c r="M6" s="9" t="inlineStr">
        <is>
          <t>test-finished-1.png, video.webm, trace.zip</t>
        </is>
      </c>
      <c r="N6" s="9" t="inlineStr">
        <is>
          <t>Automatizado con Playwright (3.3 s).</t>
        </is>
      </c>
      <c r="O6" s="9" t="inlineStr">
        <is>
          <t>2026-09-20</t>
        </is>
      </c>
    </row>
    <row r="7" ht="74" customHeight="1">
      <c r="A7" s="8" t="inlineStr">
        <is>
          <t>CP-06</t>
        </is>
      </c>
      <c r="B7" s="8" t="inlineStr">
        <is>
          <t>F2 Ingresos de la manana</t>
        </is>
      </c>
      <c r="C7" s="8" t="inlineStr">
        <is>
          <t>Recepcionista</t>
        </is>
      </c>
      <c r="D7" s="8" t="inlineStr">
        <is>
          <t>Apartado diario</t>
        </is>
      </c>
      <c r="E7" s="8" t="inlineStr">
        <is>
          <t>E2E</t>
        </is>
      </c>
      <c r="F7" s="8" t="inlineStr">
        <is>
          <t>Media</t>
        </is>
      </c>
      <c r="G7" s="8" t="inlineStr">
        <is>
          <t>Al menos 2 personas ingresaron y 1 marco salida.</t>
        </is>
      </c>
      <c r="H7" s="8" t="inlineStr">
        <is>
          <t>1. Leer el encabezado de la lista del dia</t>
        </is>
      </c>
      <c r="I7" s="8" t="inlineStr">
        <is>
          <t>-</t>
        </is>
      </c>
      <c r="J7" s="8" t="inlineStr">
        <is>
          <t>'Dentro ahora' cuenta solo a quien no ha salido. 'N personas ingresaron hoy' cuenta a todas. Las dos cifras difieren y ambas son correctas.</t>
        </is>
      </c>
      <c r="K7" s="9" t="inlineStr">
        <is>
          <t>OK</t>
        </is>
      </c>
      <c r="L7" s="9" t="inlineStr">
        <is>
          <t>Comportamiento conforme a lo esperado.</t>
        </is>
      </c>
      <c r="M7" s="9" t="inlineStr">
        <is>
          <t>contadores-del-dia, test-finished-1.png, video.webm, trace.zip</t>
        </is>
      </c>
      <c r="N7" s="9" t="inlineStr">
        <is>
          <t>Automatizado con Playwright (2.4 s).</t>
        </is>
      </c>
      <c r="O7" s="9" t="inlineStr">
        <is>
          <t>2026-09-20</t>
        </is>
      </c>
    </row>
    <row r="8" ht="74" customHeight="1">
      <c r="A8" s="8" t="inlineStr">
        <is>
          <t>CP-07</t>
        </is>
      </c>
      <c r="B8" s="8" t="inlineStr">
        <is>
          <t>F2 Ingresos de la manana</t>
        </is>
      </c>
      <c r="C8" s="8" t="inlineStr">
        <is>
          <t>Recepcionista</t>
        </is>
      </c>
      <c r="D8" s="8" t="inlineStr">
        <is>
          <t>Apartado diario, Membresias</t>
        </is>
      </c>
      <c r="E8" s="8" t="inlineStr">
        <is>
          <t>E2E</t>
        </is>
      </c>
      <c r="F8" s="8" t="inlineStr">
        <is>
          <t>Alta</t>
        </is>
      </c>
      <c r="G8" s="8" t="inlineStr">
        <is>
          <t>Cliente con plan de 3 dias que ya uso sus 3 dias de la semana.</t>
        </is>
      </c>
      <c r="H8" s="8" t="inlineStr">
        <is>
          <t>1. Buscarlo
2. Observar la fila</t>
        </is>
      </c>
      <c r="I8" s="8" t="inlineStr">
        <is>
          <t>Plan 3 veces/semana</t>
        </is>
      </c>
      <c r="J8" s="8" t="inlineStr">
        <is>
          <t>Fila en rojo con 'Ya uso todos sus dias de esta semana'. En vez de Registrar ingreso aparece 'Renovar o pagar dia'.</t>
        </is>
      </c>
      <c r="K8" s="9" t="inlineStr">
        <is>
          <t>OK</t>
        </is>
      </c>
      <c r="L8" s="9" t="inlineStr">
        <is>
          <t>Comportamiento conforme a lo esperado.</t>
        </is>
      </c>
      <c r="M8" s="9" t="inlineStr">
        <is>
          <t>cupo-agotado, test-finished-1.png, video.webm, trace.zip</t>
        </is>
      </c>
      <c r="N8" s="9" t="inlineStr">
        <is>
          <t>Automatizado con Playwright (3.6 s).</t>
        </is>
      </c>
      <c r="O8" s="9" t="inlineStr">
        <is>
          <t>2026-09-20</t>
        </is>
      </c>
    </row>
    <row r="9" ht="74" customHeight="1">
      <c r="A9" s="8" t="inlineStr">
        <is>
          <t>CP-08</t>
        </is>
      </c>
      <c r="B9" s="8" t="inlineStr">
        <is>
          <t>F2 Ingresos de la manana</t>
        </is>
      </c>
      <c r="C9" s="8" t="inlineStr">
        <is>
          <t>Recepcionista</t>
        </is>
      </c>
      <c r="D9" s="8" t="inlineStr">
        <is>
          <t>Apartado diario, Clientes</t>
        </is>
      </c>
      <c r="E9" s="8" t="inlineStr">
        <is>
          <t>E2E</t>
        </is>
      </c>
      <c r="F9" s="8" t="inlineStr">
        <is>
          <t>Alta</t>
        </is>
      </c>
      <c r="G9" s="8" t="inlineStr">
        <is>
          <t>Cliente cuya membresia ya vencio.</t>
        </is>
      </c>
      <c r="H9" s="8" t="inlineStr">
        <is>
          <t>1. Buscarlo
2. Observar la fila</t>
        </is>
      </c>
      <c r="I9" s="8" t="inlineStr">
        <is>
          <t>Cliente en mora</t>
        </is>
      </c>
      <c r="J9" s="8" t="inlineStr">
        <is>
          <t>Motivo en rojo: 'Membresia vencida. Debe renovar para ingresar.' Boton de cobro, no de ingreso.</t>
        </is>
      </c>
      <c r="K9" s="9" t="inlineStr">
        <is>
          <t>OK</t>
        </is>
      </c>
      <c r="L9" s="9" t="inlineStr">
        <is>
          <t>Comportamiento conforme a lo esperado.</t>
        </is>
      </c>
      <c r="M9" s="9" t="inlineStr">
        <is>
          <t>mora-bloqueada, test-finished-1.png, video.webm, trace.zip</t>
        </is>
      </c>
      <c r="N9" s="9" t="inlineStr">
        <is>
          <t>Automatizado con Playwright (3.2 s).</t>
        </is>
      </c>
      <c r="O9" s="9" t="inlineStr">
        <is>
          <t>2026-09-20</t>
        </is>
      </c>
    </row>
    <row r="10" ht="74" customHeight="1">
      <c r="A10" s="8" t="inlineStr">
        <is>
          <t>CP-09</t>
        </is>
      </c>
      <c r="B10" s="8" t="inlineStr">
        <is>
          <t>F2 Ingresos de la manana</t>
        </is>
      </c>
      <c r="C10" s="8" t="inlineStr">
        <is>
          <t>Recepcionista</t>
        </is>
      </c>
      <c r="D10" s="8" t="inlineStr">
        <is>
          <t>Apartado diario</t>
        </is>
      </c>
      <c r="E10" s="8" t="inlineStr">
        <is>
          <t>E2E</t>
        </is>
      </c>
      <c r="F10" s="8" t="inlineStr">
        <is>
          <t>Media</t>
        </is>
      </c>
      <c r="G10" s="8" t="inlineStr">
        <is>
          <t>Cliente sin ninguna membresia registrada.</t>
        </is>
      </c>
      <c r="H10" s="8" t="inlineStr">
        <is>
          <t>1. Buscarlo
2. Observar la fila</t>
        </is>
      </c>
      <c r="I10" s="8" t="inlineStr">
        <is>
          <t>Cliente sin plan</t>
        </is>
      </c>
      <c r="J10" s="8" t="inlineStr">
        <is>
          <t>Dice 'No tiene una membresia registrada'. NO ofrece boton de cobro, porque no hay plan que renovar. Tampoco muestra barras de cupo.</t>
        </is>
      </c>
      <c r="K10" s="9" t="inlineStr">
        <is>
          <t>No aplica</t>
        </is>
      </c>
      <c r="L10" s="9" t="inlineStr">
        <is>
          <t>No automatizable: el formulario de cliente exige un plan, asi que el estado "sin membresia" no se puede crear por la interfaz.</t>
        </is>
      </c>
      <c r="M10" s="9" t="inlineStr">
        <is>
          <t>apps/e2e/README.md</t>
        </is>
      </c>
      <c r="N10" s="9" t="inlineStr">
        <is>
          <t>Queda como prueba manual sobre un registro historico.</t>
        </is>
      </c>
      <c r="O10" s="9" t="inlineStr">
        <is>
          <t>2026-09-20</t>
        </is>
      </c>
    </row>
    <row r="11" ht="74" customHeight="1">
      <c r="A11" s="8" t="inlineStr">
        <is>
          <t>CP-10</t>
        </is>
      </c>
      <c r="B11" s="8" t="inlineStr">
        <is>
          <t>F3 Vencido paga y entra</t>
        </is>
      </c>
      <c r="C11" s="8" t="inlineStr">
        <is>
          <t>Recepcionista</t>
        </is>
      </c>
      <c r="D11" s="8" t="inlineStr">
        <is>
          <t>Apartado diario -&gt; Pagos</t>
        </is>
      </c>
      <c r="E11" s="8" t="inlineStr">
        <is>
          <t>Integracion</t>
        </is>
      </c>
      <c r="F11" s="8" t="inlineStr">
        <is>
          <t>Alta</t>
        </is>
      </c>
      <c r="G11" s="8" t="inlineStr">
        <is>
          <t>Cliente en mora localizado en el panel (CP-08).</t>
        </is>
      </c>
      <c r="H11" s="8" t="inlineStr">
        <is>
          <t>1. Pulsar 'Renovar o pagar dia'</t>
        </is>
      </c>
      <c r="I11" s="8" t="inlineStr">
        <is>
          <t>Cliente en mora</t>
        </is>
      </c>
      <c r="J11" s="8" t="inlineStr">
        <is>
          <t>Abre Registrar pago CON EL CLIENTE YA SELECCIONADO. No hay que buscarlo otra vez.</t>
        </is>
      </c>
      <c r="K11" s="9" t="inlineStr">
        <is>
          <t>OK</t>
        </is>
      </c>
      <c r="L11" s="9" t="inlineStr">
        <is>
          <t>Comportamiento conforme a lo esperado.</t>
        </is>
      </c>
      <c r="M11" s="9" t="inlineStr">
        <is>
          <t>test-finished-1.png, cobro-preseleccionado, test-finished-2.png, video.webm, trace.zip</t>
        </is>
      </c>
      <c r="N11" s="9" t="inlineStr">
        <is>
          <t>Automatizado con Playwright (3.8 s).</t>
        </is>
      </c>
      <c r="O11" s="9" t="inlineStr">
        <is>
          <t>2026-09-20</t>
        </is>
      </c>
    </row>
    <row r="12" ht="74" customHeight="1">
      <c r="A12" s="8" t="inlineStr">
        <is>
          <t>CP-11</t>
        </is>
      </c>
      <c r="B12" s="8" t="inlineStr">
        <is>
          <t>F3 Vencido paga y entra</t>
        </is>
      </c>
      <c r="C12" s="8" t="inlineStr">
        <is>
          <t>Recepcionista</t>
        </is>
      </c>
      <c r="D12" s="8" t="inlineStr">
        <is>
          <t>Pagos, Clientes</t>
        </is>
      </c>
      <c r="E12" s="8" t="inlineStr">
        <is>
          <t>E2E</t>
        </is>
      </c>
      <c r="F12" s="8" t="inlineStr">
        <is>
          <t>Alta</t>
        </is>
      </c>
      <c r="G12" s="8" t="inlineStr">
        <is>
          <t>Viene del CP-10.</t>
        </is>
      </c>
      <c r="H12" s="8" t="inlineStr">
        <is>
          <t>1. Leer el aviso del resumen
2. Comprobar el monto
3. Metodo Efectivo
4. Pulsar guardar</t>
        </is>
      </c>
      <c r="I12" s="8" t="inlineStr">
        <is>
          <t>Efectivo, valor del plan</t>
        </is>
      </c>
      <c r="J12" s="8" t="inlineStr">
        <is>
          <t>Avisa 'Membresia vencida el &lt;fecha&gt;'. Muestra 'Valor a cobrar', no 'Saldo pendiente'. El boton dice 'Renovar y registrar pago'. Al guardar abre un periodo nuevo del MISMO plan desde hoy y registra el pago contra el.</t>
        </is>
      </c>
      <c r="K12" s="9" t="inlineStr">
        <is>
          <t>OK</t>
        </is>
      </c>
      <c r="L12" s="9" t="inlineStr">
        <is>
          <t>Comportamiento conforme a lo esperado.</t>
        </is>
      </c>
      <c r="M12" s="9" t="inlineStr">
        <is>
          <t>resumen-antes-de-cobrar, test-finished-1.png, video.webm, trace.zip</t>
        </is>
      </c>
      <c r="N12" s="9" t="inlineStr">
        <is>
          <t>Automatizado con Playwright (6.6 s).</t>
        </is>
      </c>
      <c r="O12" s="9" t="inlineStr">
        <is>
          <t>2026-09-20</t>
        </is>
      </c>
    </row>
    <row r="13" ht="74" customHeight="1">
      <c r="A13" s="8" t="inlineStr">
        <is>
          <t>CP-12</t>
        </is>
      </c>
      <c r="B13" s="8" t="inlineStr">
        <is>
          <t>F3 Vencido paga y entra</t>
        </is>
      </c>
      <c r="C13" s="8" t="inlineStr">
        <is>
          <t>Recepcionista</t>
        </is>
      </c>
      <c r="D13" s="8" t="inlineStr">
        <is>
          <t>Pagos -&gt; Apartado diario</t>
        </is>
      </c>
      <c r="E13" s="8" t="inlineStr">
        <is>
          <t>Integracion</t>
        </is>
      </c>
      <c r="F13" s="8" t="inlineStr">
        <is>
          <t>Alta</t>
        </is>
      </c>
      <c r="G13" s="8" t="inlineStr">
        <is>
          <t>Viene del CP-11.</t>
        </is>
      </c>
      <c r="H13" s="8" t="inlineStr">
        <is>
          <t>1. Volver a Apartado diario &gt; Ingresos
2. Buscar al mismo cliente
3. Registrar ingreso</t>
        </is>
      </c>
      <c r="I13" s="8" t="inlineStr">
        <is>
          <t>Mismo cliente</t>
        </is>
      </c>
      <c r="J13" s="8" t="inlineStr">
        <is>
          <t>Ya NO aparece bloqueado. El plan mostrado es el del periodo nuevo. El ingreso se registra. El circuito queda cerrado.</t>
        </is>
      </c>
      <c r="K13" s="9" t="inlineStr">
        <is>
          <t>OK</t>
        </is>
      </c>
      <c r="L13" s="9" t="inlineStr">
        <is>
          <t>Comportamiento conforme a lo esperado.</t>
        </is>
      </c>
      <c r="M13" s="9" t="inlineStr">
        <is>
          <t>circuito-cerrado, test-finished-1.png, video.webm, trace.zip</t>
        </is>
      </c>
      <c r="N13" s="9" t="inlineStr">
        <is>
          <t>Automatizado con Playwright (3.4 s).</t>
        </is>
      </c>
      <c r="O13" s="9" t="inlineStr">
        <is>
          <t>2026-09-20</t>
        </is>
      </c>
    </row>
    <row r="14" ht="74" customHeight="1">
      <c r="A14" s="8" t="inlineStr">
        <is>
          <t>CP-13</t>
        </is>
      </c>
      <c r="B14" s="8" t="inlineStr">
        <is>
          <t>F3 Vencido paga y entra</t>
        </is>
      </c>
      <c r="C14" s="8" t="inlineStr">
        <is>
          <t>Recepcionista</t>
        </is>
      </c>
      <c r="D14" s="8" t="inlineStr">
        <is>
          <t>Apartado diario, Clientes</t>
        </is>
      </c>
      <c r="E14" s="8" t="inlineStr">
        <is>
          <t>Regresion</t>
        </is>
      </c>
      <c r="F14" s="8" t="inlineStr">
        <is>
          <t>Alta</t>
        </is>
      </c>
      <c r="G14" s="8" t="inlineStr">
        <is>
          <t>Cliente al que se le cambio de plan al menos una vez.</t>
        </is>
      </c>
      <c r="H14" s="8" t="inlineStr">
        <is>
          <t>1. Buscarlo en el panel de ingreso</t>
        </is>
      </c>
      <c r="I14" s="8" t="inlineStr">
        <is>
          <t>Cliente con 2+ membresias</t>
        </is>
      </c>
      <c r="J14" s="8" t="inlineStr">
        <is>
          <t>Aparece UNA SOLA FILA, con el plan vigente. No se repite una vez por cada membresia historica.</t>
        </is>
      </c>
      <c r="K14" s="9" t="inlineStr">
        <is>
          <t>OK</t>
        </is>
      </c>
      <c r="L14" s="9" t="inlineStr">
        <is>
          <t>Comportamiento conforme a lo esperado.</t>
        </is>
      </c>
      <c r="M14" s="9" t="inlineStr">
        <is>
          <t>test-finished-1.png, video.webm, trace.zip</t>
        </is>
      </c>
      <c r="N14" s="9" t="inlineStr">
        <is>
          <t>Automatizado con Playwright (2.9 s).</t>
        </is>
      </c>
      <c r="O14" s="9" t="inlineStr">
        <is>
          <t>2026-09-20</t>
        </is>
      </c>
    </row>
    <row r="15" ht="74" customHeight="1">
      <c r="A15" s="8" t="inlineStr">
        <is>
          <t>CP-14</t>
        </is>
      </c>
      <c r="B15" s="8" t="inlineStr">
        <is>
          <t>F4 Cobro con evidencia</t>
        </is>
      </c>
      <c r="C15" s="8" t="inlineStr">
        <is>
          <t>Recepcionista</t>
        </is>
      </c>
      <c r="D15" s="8" t="inlineStr">
        <is>
          <t>Pagos</t>
        </is>
      </c>
      <c r="E15" s="8" t="inlineStr">
        <is>
          <t>E2E</t>
        </is>
      </c>
      <c r="F15" s="8" t="inlineStr">
        <is>
          <t>Alta</t>
        </is>
      </c>
      <c r="G15" s="8" t="inlineStr">
        <is>
          <t>Cliente con saldo pendiente.</t>
        </is>
      </c>
      <c r="H15" s="8" t="inlineStr">
        <is>
          <t>1. Seleccionarlo
2. Monto valido
3. Metodo Transferencia
4. NO adjuntar nada
5. Guardar</t>
        </is>
      </c>
      <c r="I15" s="8" t="inlineStr">
        <is>
          <t>Transferencia</t>
        </is>
      </c>
      <c r="J15" s="8" t="inlineStr">
        <is>
          <t>Rechaza: 'Adjunta el comprobante: es obligatorio si el pago no es en efectivo.' No se registra nada.</t>
        </is>
      </c>
      <c r="K15" s="9" t="inlineStr">
        <is>
          <t>OK</t>
        </is>
      </c>
      <c r="L15" s="9" t="inlineStr">
        <is>
          <t>Comportamiento conforme a lo esperado.</t>
        </is>
      </c>
      <c r="M15" s="9" t="inlineStr">
        <is>
          <t>test-finished-1.png, rechazo-sin-comprobante, test-finished-2.png, video.webm, trace.zip</t>
        </is>
      </c>
      <c r="N15" s="9" t="inlineStr">
        <is>
          <t>Automatizado con Playwright (2.2 s).</t>
        </is>
      </c>
      <c r="O15" s="9" t="inlineStr">
        <is>
          <t>2026-09-20</t>
        </is>
      </c>
    </row>
    <row r="16" ht="74" customHeight="1">
      <c r="A16" s="8" t="inlineStr">
        <is>
          <t>CP-15</t>
        </is>
      </c>
      <c r="B16" s="8" t="inlineStr">
        <is>
          <t>F4 Cobro con evidencia</t>
        </is>
      </c>
      <c r="C16" s="8" t="inlineStr">
        <is>
          <t>Recepcionista</t>
        </is>
      </c>
      <c r="D16" s="8" t="inlineStr">
        <is>
          <t>Pagos</t>
        </is>
      </c>
      <c r="E16" s="8" t="inlineStr">
        <is>
          <t>E2E</t>
        </is>
      </c>
      <c r="F16" s="8" t="inlineStr">
        <is>
          <t>Alta</t>
        </is>
      </c>
      <c r="G16" s="8" t="inlineStr">
        <is>
          <t>Viene del CP-14.</t>
        </is>
      </c>
      <c r="H16" s="8" t="inlineStr">
        <is>
          <t>1. Adjuntar una imagen (seleccionar, arrastrar o Ctrl+V)
2. Guardar</t>
        </is>
      </c>
      <c r="I16" s="8" t="inlineStr">
        <is>
          <t>JPG/PNG menor a 5MB</t>
        </is>
      </c>
      <c r="J16" s="8" t="inlineStr">
        <is>
          <t>Se registra. El archivo queda en disco con nombre generado por el servidor, nunca con el nombre original que mando el navegador.</t>
        </is>
      </c>
      <c r="K16" s="9" t="inlineStr">
        <is>
          <t>OK</t>
        </is>
      </c>
      <c r="L16" s="9" t="inlineStr">
        <is>
          <t>Comportamiento conforme a lo esperado.</t>
        </is>
      </c>
      <c r="M16" s="9" t="inlineStr">
        <is>
          <t>test-finished-1.png, video.webm, trace.zip</t>
        </is>
      </c>
      <c r="N16" s="9" t="inlineStr">
        <is>
          <t>Automatizado con Playwright (3.6 s).</t>
        </is>
      </c>
      <c r="O16" s="9" t="inlineStr">
        <is>
          <t>2026-09-20</t>
        </is>
      </c>
    </row>
    <row r="17" ht="74" customHeight="1">
      <c r="A17" s="8" t="inlineStr">
        <is>
          <t>CP-16</t>
        </is>
      </c>
      <c r="B17" s="8" t="inlineStr">
        <is>
          <t>F4 Cobro con evidencia</t>
        </is>
      </c>
      <c r="C17" s="8" t="inlineStr">
        <is>
          <t>Recepcionista</t>
        </is>
      </c>
      <c r="D17" s="8" t="inlineStr">
        <is>
          <t>Pagos</t>
        </is>
      </c>
      <c r="E17" s="8" t="inlineStr">
        <is>
          <t>E2E</t>
        </is>
      </c>
      <c r="F17" s="8" t="inlineStr">
        <is>
          <t>Media</t>
        </is>
      </c>
      <c r="G17" s="8" t="inlineStr">
        <is>
          <t>Existe al menos un pago con comprobante.</t>
        </is>
      </c>
      <c r="H17" s="8" t="inlineStr">
        <is>
          <t>1. Ir a Todos los pagos
2. Pulsar el icono de ojo de ese pago
3. Cerrar</t>
        </is>
      </c>
      <c r="I17" s="8" t="inlineStr">
        <is>
          <t>-</t>
        </is>
      </c>
      <c r="J17" s="8" t="inlineStr">
        <is>
          <t>Se abre un panel SOBRE el listado con la imagen. No navega a otra pagina ni deja ver la URL. Cierra con la X o con Escape.</t>
        </is>
      </c>
      <c r="K17" s="9" t="inlineStr">
        <is>
          <t>OK</t>
        </is>
      </c>
      <c r="L17" s="9" t="inlineStr">
        <is>
          <t>Comportamiento conforme a lo esperado.</t>
        </is>
      </c>
      <c r="M17" s="9" t="inlineStr">
        <is>
          <t>visor-de-comprobante, test-finished-1.png, video.webm, trace.zip</t>
        </is>
      </c>
      <c r="N17" s="9" t="inlineStr">
        <is>
          <t>Automatizado con Playwright (2.2 s).</t>
        </is>
      </c>
      <c r="O17" s="9" t="inlineStr">
        <is>
          <t>2026-09-20</t>
        </is>
      </c>
    </row>
    <row r="18" ht="74" customHeight="1">
      <c r="A18" s="8" t="inlineStr">
        <is>
          <t>CP-17</t>
        </is>
      </c>
      <c r="B18" s="8" t="inlineStr">
        <is>
          <t>F4 Cobro con evidencia</t>
        </is>
      </c>
      <c r="C18" s="8" t="inlineStr">
        <is>
          <t>Recepcionista</t>
        </is>
      </c>
      <c r="D18" s="8" t="inlineStr">
        <is>
          <t>Pagos</t>
        </is>
      </c>
      <c r="E18" s="8" t="inlineStr">
        <is>
          <t>E2E</t>
        </is>
      </c>
      <c r="F18" s="8" t="inlineStr">
        <is>
          <t>Media</t>
        </is>
      </c>
      <c r="G18" s="8" t="inlineStr">
        <is>
          <t>Formulario de pago con Transferencia y archivo adjunto.</t>
        </is>
      </c>
      <c r="H18" s="8" t="inlineStr">
        <is>
          <t>1. Cambiar el metodo a Efectivo
2. Volver a Transferencia</t>
        </is>
      </c>
      <c r="I18" s="8" t="inlineStr">
        <is>
          <t>-</t>
        </is>
      </c>
      <c r="J18" s="8" t="inlineStr">
        <is>
          <t>El campo de comprobante desaparece Y el archivo se descarta. Al volver a Transferencia el campo aparece vacio, no con el archivo anterior.</t>
        </is>
      </c>
      <c r="K18" s="9" t="inlineStr">
        <is>
          <t>OK</t>
        </is>
      </c>
      <c r="L18" s="9" t="inlineStr">
        <is>
          <t>Comportamiento conforme a lo esperado.</t>
        </is>
      </c>
      <c r="M18" s="9" t="inlineStr">
        <is>
          <t>test-finished-1.png, video.webm, trace.zip</t>
        </is>
      </c>
      <c r="N18" s="9" t="inlineStr">
        <is>
          <t>Automatizado con Playwright (2.0 s).</t>
        </is>
      </c>
      <c r="O18" s="9" t="inlineStr">
        <is>
          <t>2026-09-20</t>
        </is>
      </c>
    </row>
    <row r="19" ht="74" customHeight="1">
      <c r="A19" s="8" t="inlineStr">
        <is>
          <t>CP-18</t>
        </is>
      </c>
      <c r="B19" s="8" t="inlineStr">
        <is>
          <t>F4 Cobro con evidencia</t>
        </is>
      </c>
      <c r="C19" s="8" t="inlineStr">
        <is>
          <t>Recepcionista</t>
        </is>
      </c>
      <c r="D19" s="8" t="inlineStr">
        <is>
          <t>Pagos, Membresias</t>
        </is>
      </c>
      <c r="E19" s="8" t="inlineStr">
        <is>
          <t>E2E</t>
        </is>
      </c>
      <c r="F19" s="8" t="inlineStr">
        <is>
          <t>Media</t>
        </is>
      </c>
      <c r="G19" s="8" t="inlineStr">
        <is>
          <t>Cliente con plan que exige abono minimo.</t>
        </is>
      </c>
      <c r="H19" s="8" t="inlineStr">
        <is>
          <t>1. Seleccionarlo
2. Monto por debajo del minimo
3. Guardar</t>
        </is>
      </c>
      <c r="I19" s="8" t="inlineStr">
        <is>
          <t>Monto 10.000</t>
        </is>
      </c>
      <c r="J19" s="8" t="inlineStr">
        <is>
          <t>Rechaza indicando el minimo del plan por su nombre. No se registra.</t>
        </is>
      </c>
      <c r="K19" s="9" t="inlineStr">
        <is>
          <t>OK</t>
        </is>
      </c>
      <c r="L19" s="9" t="inlineStr">
        <is>
          <t>Comportamiento conforme a lo esperado.</t>
        </is>
      </c>
      <c r="M19" s="9" t="inlineStr">
        <is>
          <t>abono-minimo, test-finished-1.png, video.webm, trace.zip</t>
        </is>
      </c>
      <c r="N19" s="9" t="inlineStr">
        <is>
          <t>Automatizado con Playwright (2.1 s).</t>
        </is>
      </c>
      <c r="O19" s="9" t="inlineStr">
        <is>
          <t>2026-09-20</t>
        </is>
      </c>
    </row>
    <row r="20" ht="74" customHeight="1">
      <c r="A20" s="8" t="inlineStr">
        <is>
          <t>CP-19</t>
        </is>
      </c>
      <c r="B20" s="8" t="inlineStr">
        <is>
          <t>F5 Alta de cliente</t>
        </is>
      </c>
      <c r="C20" s="8" t="inlineStr">
        <is>
          <t>Recepcionista</t>
        </is>
      </c>
      <c r="D20" s="8" t="inlineStr">
        <is>
          <t>Clientes</t>
        </is>
      </c>
      <c r="E20" s="8" t="inlineStr">
        <is>
          <t>E2E</t>
        </is>
      </c>
      <c r="F20" s="8" t="inlineStr">
        <is>
          <t>Alta</t>
        </is>
      </c>
      <c r="G20" s="8" t="inlineStr">
        <is>
          <t>Sesion iniciada.</t>
        </is>
      </c>
      <c r="H20" s="8" t="inlineStr">
        <is>
          <t>1. Clientes &gt; Agregar cliente
2. Llenar todos los campos
3. Guardar</t>
        </is>
      </c>
      <c r="I20" s="8" t="inlineStr">
        <is>
          <t>Documento no usado</t>
        </is>
      </c>
      <c r="J20" s="8" t="inlineStr">
        <is>
          <t>Se crea. El formulario NO pide 'Comentarios'. La fecha de vencimiento se calcula sola segun el plan.</t>
        </is>
      </c>
      <c r="K20" s="9" t="inlineStr">
        <is>
          <t>OK</t>
        </is>
      </c>
      <c r="L20" s="9" t="inlineStr">
        <is>
          <t>Comportamiento conforme a lo esperado.</t>
        </is>
      </c>
      <c r="M20" s="9" t="inlineStr">
        <is>
          <t>test-finished-1.png, vencimiento-derivado, test-finished-2.png, video.webm, trace.zip</t>
        </is>
      </c>
      <c r="N20" s="9" t="inlineStr">
        <is>
          <t>Automatizado con Playwright (3.6 s).</t>
        </is>
      </c>
      <c r="O20" s="9" t="inlineStr">
        <is>
          <t>2026-09-20</t>
        </is>
      </c>
    </row>
    <row r="21" ht="74" customHeight="1">
      <c r="A21" s="8" t="inlineStr">
        <is>
          <t>CP-20</t>
        </is>
      </c>
      <c r="B21" s="8" t="inlineStr">
        <is>
          <t>F5 Alta de cliente</t>
        </is>
      </c>
      <c r="C21" s="8" t="inlineStr">
        <is>
          <t>Recepcionista</t>
        </is>
      </c>
      <c r="D21" s="8" t="inlineStr">
        <is>
          <t>Clientes</t>
        </is>
      </c>
      <c r="E21" s="8" t="inlineStr">
        <is>
          <t>E2E</t>
        </is>
      </c>
      <c r="F21" s="8" t="inlineStr">
        <is>
          <t>Alta</t>
        </is>
      </c>
      <c r="G21" s="8" t="inlineStr">
        <is>
          <t>Formulario de cliente abierto (crear o editar).</t>
        </is>
      </c>
      <c r="H21" s="8" t="inlineStr">
        <is>
          <t>1. Dejar un campo obligatorio vacio
2. Desplazarse hasta abajo
3. Guardar</t>
        </is>
      </c>
      <c r="I21" s="8" t="inlineStr">
        <is>
          <t>Telefono vacio</t>
        </is>
      </c>
      <c r="J21" s="8" t="inlineStr">
        <is>
          <t>El foco salta al PRIMER campo invalido y lo desplaza a la vista. El mensaje aparece bajo ese campo y queda asociado a el para un lector de pantalla.</t>
        </is>
      </c>
      <c r="K21" s="9" t="inlineStr">
        <is>
          <t>OK</t>
        </is>
      </c>
      <c r="L21" s="9" t="inlineStr">
        <is>
          <t>Comportamiento conforme a lo esperado.</t>
        </is>
      </c>
      <c r="M21" s="9" t="inlineStr">
        <is>
          <t>primer-campo-invalido, test-finished-1.png, video.webm, trace.zip</t>
        </is>
      </c>
      <c r="N21" s="9" t="inlineStr">
        <is>
          <t>Automatizado con Playwright (2.3 s).</t>
        </is>
      </c>
      <c r="O21" s="9" t="inlineStr">
        <is>
          <t>2026-09-20</t>
        </is>
      </c>
    </row>
    <row r="22" ht="74" customHeight="1">
      <c r="A22" s="8" t="inlineStr">
        <is>
          <t>CP-21</t>
        </is>
      </c>
      <c r="B22" s="8" t="inlineStr">
        <is>
          <t>F5 Alta de cliente</t>
        </is>
      </c>
      <c r="C22" s="8" t="inlineStr">
        <is>
          <t>Recepcionista</t>
        </is>
      </c>
      <c r="D22" s="8" t="inlineStr">
        <is>
          <t>Clientes -&gt; Pagos -&gt; Apartado diario</t>
        </is>
      </c>
      <c r="E22" s="8" t="inlineStr">
        <is>
          <t>Integracion</t>
        </is>
      </c>
      <c r="F22" s="8" t="inlineStr">
        <is>
          <t>Alta</t>
        </is>
      </c>
      <c r="G22" s="8" t="inlineStr">
        <is>
          <t>Cliente recien creado del CP-19.</t>
        </is>
      </c>
      <c r="H22" s="8" t="inlineStr">
        <is>
          <t>1. Cobrarle su primera mensualidad
2. Ir a Apartado diario &gt; Ingresos
3. Registrar su ingreso</t>
        </is>
      </c>
      <c r="I22" s="8" t="inlineStr">
        <is>
          <t>Cliente nuevo</t>
        </is>
      </c>
      <c r="J22" s="8" t="inlineStr">
        <is>
          <t>El cobro y el ingreso funcionan sin pasos intermedios. El cliente nuevo aparece en las tres pantallas.</t>
        </is>
      </c>
      <c r="K22" s="9" t="inlineStr">
        <is>
          <t>OK</t>
        </is>
      </c>
      <c r="L22" s="9" t="inlineStr">
        <is>
          <t>Comportamiento conforme a lo esperado.</t>
        </is>
      </c>
      <c r="M22" s="9" t="inlineStr">
        <is>
          <t>test-finished-1.png, video.webm, trace.zip</t>
        </is>
      </c>
      <c r="N22" s="9" t="inlineStr">
        <is>
          <t>Automatizado con Playwright (4.7 s).</t>
        </is>
      </c>
      <c r="O22" s="9" t="inlineStr">
        <is>
          <t>2026-09-20</t>
        </is>
      </c>
    </row>
    <row r="23" ht="74" customHeight="1">
      <c r="A23" s="8" t="inlineStr">
        <is>
          <t>CP-22</t>
        </is>
      </c>
      <c r="B23" s="8" t="inlineStr">
        <is>
          <t>F6 Administrar planes</t>
        </is>
      </c>
      <c r="C23" s="8" t="inlineStr">
        <is>
          <t>Administrador</t>
        </is>
      </c>
      <c r="D23" s="8" t="inlineStr">
        <is>
          <t>Membresias</t>
        </is>
      </c>
      <c r="E23" s="8" t="inlineStr">
        <is>
          <t>E2E</t>
        </is>
      </c>
      <c r="F23" s="8" t="inlineStr">
        <is>
          <t>Alta</t>
        </is>
      </c>
      <c r="G23" s="8" t="inlineStr">
        <is>
          <t>Sesion de administrador.</t>
        </is>
      </c>
      <c r="H23" s="8" t="inlineStr">
        <is>
          <t>1. Membresias &gt; crear plan
2. Nombre, precio, vigencia
3. Dias por semana: 2
4. Guardar</t>
        </is>
      </c>
      <c r="I23" s="8" t="inlineStr">
        <is>
          <t>Plan 2 dias/semana</t>
        </is>
      </c>
      <c r="J23" s="8" t="inlineStr">
        <is>
          <t>Se crea con cupo 2. El campo es una lista de 1 a 6, sin opcion vacia y sin posibilidad de escribir un valor invalido.</t>
        </is>
      </c>
      <c r="K23" s="9" t="inlineStr">
        <is>
          <t>OK</t>
        </is>
      </c>
      <c r="L23" s="9" t="inlineStr">
        <is>
          <t>Comportamiento conforme a lo esperado.</t>
        </is>
      </c>
      <c r="M23" s="9" t="inlineStr">
        <is>
          <t>test-finished-1.png, cupo-semanal, test-finished-2.png, video.webm, trace.zip</t>
        </is>
      </c>
      <c r="N23" s="9" t="inlineStr">
        <is>
          <t>Automatizado con Playwright (4.1 s).</t>
        </is>
      </c>
      <c r="O23" s="9" t="inlineStr">
        <is>
          <t>2026-09-20</t>
        </is>
      </c>
    </row>
    <row r="24" ht="74" customHeight="1">
      <c r="A24" s="8" t="inlineStr">
        <is>
          <t>CP-23</t>
        </is>
      </c>
      <c r="B24" s="8" t="inlineStr">
        <is>
          <t>F6 Administrar planes</t>
        </is>
      </c>
      <c r="C24" s="8" t="inlineStr">
        <is>
          <t>Administrador</t>
        </is>
      </c>
      <c r="D24" s="8" t="inlineStr">
        <is>
          <t>Membresias -&gt; Clientes</t>
        </is>
      </c>
      <c r="E24" s="8" t="inlineStr">
        <is>
          <t>Integracion</t>
        </is>
      </c>
      <c r="F24" s="8" t="inlineStr">
        <is>
          <t>Alta</t>
        </is>
      </c>
      <c r="G24" s="8" t="inlineStr">
        <is>
          <t>Plan del CP-22 creado.</t>
        </is>
      </c>
      <c r="H24" s="8" t="inlineStr">
        <is>
          <t>1. Clientes &gt; editar un cliente
2. Cambiar su tipo de membresia a ese plan
3. Guardar</t>
        </is>
      </c>
      <c r="I24" s="8" t="inlineStr">
        <is>
          <t>-</t>
        </is>
      </c>
      <c r="J24" s="8" t="inlineStr">
        <is>
          <t>Se guarda. Se ABRE una membresia nueva y se cierra la anterior: los pagos ya registrados siguen atados al periodo en que se hicieron.</t>
        </is>
      </c>
      <c r="K24" s="9" t="inlineStr">
        <is>
          <t>OK</t>
        </is>
      </c>
      <c r="L24" s="9" t="inlineStr">
        <is>
          <t>Comportamiento conforme a lo esperado.</t>
        </is>
      </c>
      <c r="M24" s="9" t="inlineStr">
        <is>
          <t>test-finished-1.png, video.webm, trace.zip</t>
        </is>
      </c>
      <c r="N24" s="9" t="inlineStr">
        <is>
          <t>Automatizado con Playwright (5.2 s).</t>
        </is>
      </c>
      <c r="O24" s="9" t="inlineStr">
        <is>
          <t>2026-09-20</t>
        </is>
      </c>
    </row>
    <row r="25" ht="74" customHeight="1">
      <c r="A25" s="8" t="inlineStr">
        <is>
          <t>CP-24</t>
        </is>
      </c>
      <c r="B25" s="8" t="inlineStr">
        <is>
          <t>F6 Administrar planes</t>
        </is>
      </c>
      <c r="C25" s="8" t="inlineStr">
        <is>
          <t>Administrador</t>
        </is>
      </c>
      <c r="D25" s="8" t="inlineStr">
        <is>
          <t>Clientes -&gt; Apartado diario</t>
        </is>
      </c>
      <c r="E25" s="8" t="inlineStr">
        <is>
          <t>Integracion</t>
        </is>
      </c>
      <c r="F25" s="8" t="inlineStr">
        <is>
          <t>Alta</t>
        </is>
      </c>
      <c r="G25" s="8" t="inlineStr">
        <is>
          <t>Cliente con el plan de 2 dias del CP-23.</t>
        </is>
      </c>
      <c r="H25" s="8" t="inlineStr">
        <is>
          <t>1. Registrarle ingreso hoy
2. Registrarle un segundo dia distinto
3. Intentar un tercero</t>
        </is>
      </c>
      <c r="I25" s="8" t="inlineStr">
        <is>
          <t>-</t>
        </is>
      </c>
      <c r="J25" s="8" t="inlineStr">
        <is>
          <t>Las barras muestran 2 de 2. Al tercer dia distinto queda bloqueado por cupo agotado.</t>
        </is>
      </c>
      <c r="K25" s="9" t="inlineStr">
        <is>
          <t>OK</t>
        </is>
      </c>
      <c r="L25" s="9" t="inlineStr">
        <is>
          <t>Comportamiento conforme a lo esperado.</t>
        </is>
      </c>
      <c r="M25" s="9" t="inlineStr">
        <is>
          <t>cupo-del-plan-nuevo, test-finished-1.png, video.webm, trace.zip</t>
        </is>
      </c>
      <c r="N25" s="9" t="inlineStr">
        <is>
          <t>Automatizado con Playwright (3.4 s).</t>
        </is>
      </c>
      <c r="O25" s="9" t="inlineStr">
        <is>
          <t>2026-09-20</t>
        </is>
      </c>
    </row>
    <row r="26" ht="74" customHeight="1">
      <c r="A26" s="8" t="inlineStr">
        <is>
          <t>CP-25</t>
        </is>
      </c>
      <c r="B26" s="8" t="inlineStr">
        <is>
          <t>F7 Cierre del dia</t>
        </is>
      </c>
      <c r="C26" s="8" t="inlineStr">
        <is>
          <t>Recepcionista</t>
        </is>
      </c>
      <c r="D26" s="8" t="inlineStr">
        <is>
          <t>Apartado diario, Inventario</t>
        </is>
      </c>
      <c r="E26" s="8" t="inlineStr">
        <is>
          <t>E2E</t>
        </is>
      </c>
      <c r="F26" s="8" t="inlineStr">
        <is>
          <t>Media</t>
        </is>
      </c>
      <c r="G26" s="8" t="inlineStr">
        <is>
          <t>Hay producto con existencias.</t>
        </is>
      </c>
      <c r="H26" s="8" t="inlineStr">
        <is>
          <t>1. Apartado diario &gt; Registrar venta
2. Elegir producto y cantidad
3. Guardar
4. Revisar Inventario</t>
        </is>
      </c>
      <c r="I26" s="8" t="inlineStr">
        <is>
          <t>Producto con stock</t>
        </is>
      </c>
      <c r="J26" s="8" t="inlineStr">
        <is>
          <t>La venta queda registrada y el stock del producto baja exactamente en la cantidad vendida.</t>
        </is>
      </c>
      <c r="K26" s="9" t="inlineStr">
        <is>
          <t>OK</t>
        </is>
      </c>
      <c r="L26" s="9" t="inlineStr">
        <is>
          <t>Comportamiento conforme a lo esperado.</t>
        </is>
      </c>
      <c r="M26" s="9" t="inlineStr">
        <is>
          <t>venta-registrada, test-finished-1.png, video.webm, trace.zip</t>
        </is>
      </c>
      <c r="N26" s="9" t="inlineStr">
        <is>
          <t>Automatizado con Playwright (2.6 s).</t>
        </is>
      </c>
      <c r="O26" s="9" t="inlineStr">
        <is>
          <t>2026-09-20</t>
        </is>
      </c>
    </row>
    <row r="27" ht="74" customHeight="1">
      <c r="A27" s="8" t="inlineStr">
        <is>
          <t>CP-26</t>
        </is>
      </c>
      <c r="B27" s="8" t="inlineStr">
        <is>
          <t>F7 Cierre del dia</t>
        </is>
      </c>
      <c r="C27" s="8" t="inlineStr">
        <is>
          <t>Recepcionista</t>
        </is>
      </c>
      <c r="D27" s="8" t="inlineStr">
        <is>
          <t>Apartado diario, Pagos</t>
        </is>
      </c>
      <c r="E27" s="8" t="inlineStr">
        <is>
          <t>Integracion</t>
        </is>
      </c>
      <c r="F27" s="8" t="inlineStr">
        <is>
          <t>Alta</t>
        </is>
      </c>
      <c r="G27" s="8" t="inlineStr">
        <is>
          <t>Hubo al menos un pago y una venta hoy.</t>
        </is>
      </c>
      <c r="H27" s="8" t="inlineStr">
        <is>
          <t>1. Apartado diario &gt; Hoy
2. Desplegar el ingreso del dia</t>
        </is>
      </c>
      <c r="I27" s="8" t="inlineStr">
        <is>
          <t>-</t>
        </is>
      </c>
      <c r="J27" s="8" t="inlineStr">
        <is>
          <t>El total del dia se desglosa: cuanto vino de pagos de membresia (con nombre del cliente) y cuanto de venta de productos (con nombre del producto).</t>
        </is>
      </c>
      <c r="K27" s="9" t="inlineStr">
        <is>
          <t>OK</t>
        </is>
      </c>
      <c r="L27" s="9" t="inlineStr">
        <is>
          <t>Comportamiento conforme a lo esperado.</t>
        </is>
      </c>
      <c r="M27" s="9" t="inlineStr">
        <is>
          <t>ingreso-del-dia, test-finished-1.png, video.webm, trace.zip</t>
        </is>
      </c>
      <c r="N27" s="9" t="inlineStr">
        <is>
          <t>Automatizado con Playwright (2.9 s).</t>
        </is>
      </c>
      <c r="O27" s="9" t="inlineStr">
        <is>
          <t>2026-09-20</t>
        </is>
      </c>
    </row>
    <row r="28" ht="74" customHeight="1">
      <c r="A28" s="8" t="inlineStr">
        <is>
          <t>CP-27</t>
        </is>
      </c>
      <c r="B28" s="8" t="inlineStr">
        <is>
          <t>F7 Cierre del dia</t>
        </is>
      </c>
      <c r="C28" s="8" t="inlineStr">
        <is>
          <t>Administrador</t>
        </is>
      </c>
      <c r="D28" s="8" t="inlineStr">
        <is>
          <t>Egresos, Inventario</t>
        </is>
      </c>
      <c r="E28" s="8" t="inlineStr">
        <is>
          <t>E2E</t>
        </is>
      </c>
      <c r="F28" s="8" t="inlineStr">
        <is>
          <t>Baja</t>
        </is>
      </c>
      <c r="G28" s="8" t="inlineStr">
        <is>
          <t>Sesion de administrador.</t>
        </is>
      </c>
      <c r="H28" s="8" t="inlineStr">
        <is>
          <t>1. Egresos &gt; Categorias &gt; crear una
2. Inventario &gt; Categorias &gt; crear otra</t>
        </is>
      </c>
      <c r="I28" s="8" t="inlineStr">
        <is>
          <t>Nombre nuevo</t>
        </is>
      </c>
      <c r="J28" s="8" t="inlineStr">
        <is>
          <t>Se crea en ambos modulos. El panel es el mismo componente; el id lo asigna el backend, no la pantalla.</t>
        </is>
      </c>
      <c r="K28" s="9" t="inlineStr">
        <is>
          <t>OK</t>
        </is>
      </c>
      <c r="L28" s="9" t="inlineStr">
        <is>
          <t>Comportamiento conforme a lo esperado.</t>
        </is>
      </c>
      <c r="M28" s="9" t="inlineStr">
        <is>
          <t>test-finished-1.png, video.webm, trace.zip</t>
        </is>
      </c>
      <c r="N28" s="9" t="inlineStr">
        <is>
          <t>Automatizado con Playwright (3.3 s).</t>
        </is>
      </c>
      <c r="O28" s="9" t="inlineStr">
        <is>
          <t>2026-09-20</t>
        </is>
      </c>
    </row>
    <row r="29" ht="74" customHeight="1">
      <c r="A29" s="8" t="inlineStr">
        <is>
          <t>CP-28</t>
        </is>
      </c>
      <c r="B29" s="8" t="inlineStr">
        <is>
          <t>F8 Seguridad</t>
        </is>
      </c>
      <c r="C29" s="8" t="inlineStr">
        <is>
          <t>N/A (API)</t>
        </is>
      </c>
      <c r="D29" s="8" t="inlineStr">
        <is>
          <t>Asistencias, Pagos</t>
        </is>
      </c>
      <c r="E29" s="8" t="inlineStr">
        <is>
          <t>Seguridad</t>
        </is>
      </c>
      <c r="F29" s="8" t="inlineStr">
        <is>
          <t>Alta</t>
        </is>
      </c>
      <c r="G29" s="8" t="inlineStr">
        <is>
          <t>Cliente en mora identificado. Herramienta HTTP a mano.</t>
        </is>
      </c>
      <c r="H29" s="8" t="inlineStr">
        <is>
          <t>1. POST /attendances con ese clientId, sin pasar por la pantalla
2. GET /payments/&lt;id&gt;/receipt sin token</t>
        </is>
      </c>
      <c r="I29" s="8" t="inlineStr">
        <is>
          <t>curl o similar</t>
        </is>
      </c>
      <c r="J29" s="8" t="inlineStr">
        <is>
          <t>El ingreso se rechaza igual que en la pantalla: la regla esta en la API, no solo en la UI. El comprobante responde 401 sin sesion.</t>
        </is>
      </c>
      <c r="K29" s="9" t="inlineStr">
        <is>
          <t>OK</t>
        </is>
      </c>
      <c r="L29" s="9" t="inlineStr">
        <is>
          <t>Comportamiento conforme a lo esperado.</t>
        </is>
      </c>
      <c r="M29" s="9" t="inlineStr">
        <is>
          <t>test-finished-1.png, rechazo-de-la-api, comprobante-sin-sesion, test-finished-2.png, video.webm, trace.zip</t>
        </is>
      </c>
      <c r="N29" s="9" t="inlineStr">
        <is>
          <t>Automatizado con Playwright (2.2 s).</t>
        </is>
      </c>
      <c r="O29" s="9" t="inlineStr">
        <is>
          <t>2026-09-20</t>
        </is>
      </c>
    </row>
  </sheetData>
  <autoFilter ref="A1:O29"/>
  <dataValidations count="1">
    <dataValidation sqref="K2:K29" showDropDown="0" showInputMessage="0" showErrorMessage="0" allowBlank="1" type="list">
      <formula1>"Pendiente,OK,Fallo,Bloqueado,No aplica"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74" customWidth="1" min="2" max="2"/>
    <col width="24" customWidth="1" min="3" max="3"/>
  </cols>
  <sheetData>
    <row r="1">
      <c r="A1" s="7" t="inlineStr">
        <is>
          <t>Modulo</t>
        </is>
      </c>
      <c r="B1" s="7" t="inlineStr">
        <is>
          <t>Que se cambio en esta sesion</t>
        </is>
      </c>
      <c r="C1" s="7" t="inlineStr">
        <is>
          <t>Cubierto por</t>
        </is>
      </c>
    </row>
    <row r="2" ht="46" customHeight="1">
      <c r="A2" s="8" t="inlineStr">
        <is>
          <t>Login</t>
        </is>
      </c>
      <c r="B2" s="8" t="inlineStr">
        <is>
          <t>Rediseno a pantalla partida; acento de marca azul.</t>
        </is>
      </c>
      <c r="C2" s="8" t="inlineStr">
        <is>
          <t>CP-01</t>
        </is>
      </c>
    </row>
    <row r="3" ht="46" customHeight="1">
      <c r="A3" s="8" t="inlineStr">
        <is>
          <t>Selector de modulos</t>
        </is>
      </c>
      <c r="B3" s="8" t="inlineStr">
        <is>
          <t>Sin rail lateral; logo junto al saludo; 4 columnas; acentos por modulo.</t>
        </is>
      </c>
      <c r="C3" s="8" t="inlineStr">
        <is>
          <t>CP-02</t>
        </is>
      </c>
    </row>
    <row r="4" ht="46" customHeight="1">
      <c r="A4" s="8" t="inlineStr">
        <is>
          <t>Apartado diario / Asistencias</t>
        </is>
      </c>
      <c r="B4" s="8" t="inlineStr">
        <is>
          <t>Modulo nuevo: panel de ingreso, cupo semanal, salida, bloqueos.</t>
        </is>
      </c>
      <c r="C4" s="8" t="inlineStr">
        <is>
          <t>CP-03 a CP-13, CP-24</t>
        </is>
      </c>
    </row>
    <row r="5" ht="46" customHeight="1">
      <c r="A5" s="8" t="inlineStr">
        <is>
          <t>Clientes</t>
        </is>
      </c>
      <c r="B5" s="8" t="inlineStr">
        <is>
          <t>Campos adicionales; se quito Comentarios; cambio de membresia abre un periodo nuevo; foco al primer invalido.</t>
        </is>
      </c>
      <c r="C5" s="8" t="inlineStr">
        <is>
          <t>CP-19 a CP-21, CP-23</t>
        </is>
      </c>
    </row>
    <row r="6" ht="46" customHeight="1">
      <c r="A6" s="8" t="inlineStr">
        <is>
          <t>Membresias</t>
        </is>
      </c>
      <c r="B6" s="8" t="inlineStr">
        <is>
          <t>Cupo semanal por plan, configurable de 1 a 6.</t>
        </is>
      </c>
      <c r="C6" s="8" t="inlineStr">
        <is>
          <t>CP-22, CP-18</t>
        </is>
      </c>
    </row>
    <row r="7" ht="46" customHeight="1">
      <c r="A7" s="8" t="inlineStr">
        <is>
          <t>Pagos</t>
        </is>
      </c>
      <c r="B7" s="8" t="inlineStr">
        <is>
          <t>Comprobante obligatorio en transferencia; dos metodos; renovar y cobrar; ver comprobante.</t>
        </is>
      </c>
      <c r="C7" s="8" t="inlineStr">
        <is>
          <t>CP-10, CP-11, CP-14 a CP-18, CP-26</t>
        </is>
      </c>
    </row>
    <row r="8" ht="46" customHeight="1">
      <c r="A8" s="8" t="inlineStr">
        <is>
          <t>Inventario y Egresos</t>
        </is>
      </c>
      <c r="B8" s="8" t="inlineStr">
        <is>
          <t>Panel de categorias unificado; el id lo asigna el backend.</t>
        </is>
      </c>
      <c r="C8" s="8" t="inlineStr">
        <is>
          <t>CP-25, CP-27</t>
        </is>
      </c>
    </row>
    <row r="9" ht="46" customHeight="1">
      <c r="A9" s="8" t="inlineStr">
        <is>
          <t>API / Seguridad</t>
        </is>
      </c>
      <c r="B9" s="8" t="inlineStr">
        <is>
          <t>Reglas replicadas en el backend; comprobantes servidos con permisos.</t>
        </is>
      </c>
      <c r="C9" s="8" t="inlineStr">
        <is>
          <t>CP-28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2026-09-20T20:34:22Z</dcterms:created>
  <dcterms:modified xmlns:dcterms="http://purl.org/dc/terms/" xmlns:xsi="http://www.w3.org/2001/XMLSchema-instance" xsi:type="dcterms:W3CDTF">2026-09-20T21:30:05Z</dcterms:modified>
</cp:coreProperties>
</file>